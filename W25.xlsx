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858F6443-D1B2-49E1-86F1-D4628BEC8BA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K7 Part B " sheetId="5" r:id="rId1"/>
    <sheet name="K7 Part C" sheetId="8" r:id="rId2"/>
    <sheet name="CO5K" sheetId="4" r:id="rId3"/>
    <sheet name="CO3K" sheetId="7" r:id="rId4"/>
    <sheet name="CO1K" sheetId="6" r:id="rId5"/>
  </sheets>
  <definedNames>
    <definedName name="_xlnm._FilterDatabase" localSheetId="4" hidden="1">CO1K!$A$1:$AI$73</definedName>
    <definedName name="_xlnm._FilterDatabase" localSheetId="2" hidden="1">CO5K!$A$1:$AL$63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" i="4" l="1"/>
  <c r="U63" i="4"/>
  <c r="T61" i="4"/>
  <c r="U61" i="4" s="1"/>
  <c r="T60" i="4"/>
  <c r="U60" i="4" s="1"/>
  <c r="T59" i="4"/>
  <c r="U59" i="4" s="1"/>
  <c r="U58" i="4"/>
  <c r="T57" i="4"/>
  <c r="U57" i="4" s="1"/>
  <c r="T56" i="4"/>
  <c r="U56" i="4" s="1"/>
  <c r="T55" i="4"/>
  <c r="U55" i="4" s="1"/>
  <c r="U54" i="4"/>
  <c r="U53" i="4"/>
  <c r="T52" i="4"/>
  <c r="U52" i="4" s="1"/>
  <c r="T50" i="4"/>
  <c r="U50" i="4" s="1"/>
  <c r="T49" i="4"/>
  <c r="U49" i="4" s="1"/>
  <c r="T48" i="4"/>
  <c r="U48" i="4" s="1"/>
  <c r="U47" i="4"/>
  <c r="U46" i="4"/>
  <c r="T45" i="4"/>
  <c r="U45" i="4" s="1"/>
  <c r="T44" i="4"/>
  <c r="U44" i="4" s="1"/>
  <c r="T43" i="4"/>
  <c r="U43" i="4" s="1"/>
  <c r="T42" i="4"/>
  <c r="U42" i="4" s="1"/>
  <c r="T41" i="4"/>
  <c r="U41" i="4" s="1"/>
  <c r="T40" i="4"/>
  <c r="U40" i="4" s="1"/>
  <c r="U39" i="4"/>
  <c r="T36" i="4"/>
  <c r="U36" i="4" s="1"/>
  <c r="T35" i="4"/>
  <c r="U35" i="4" s="1"/>
  <c r="T34" i="4"/>
  <c r="U34" i="4" s="1"/>
  <c r="T33" i="4"/>
  <c r="U33" i="4" s="1"/>
  <c r="T32" i="4"/>
  <c r="U32" i="4" s="1"/>
  <c r="U31" i="4"/>
  <c r="T30" i="4"/>
  <c r="U30" i="4" s="1"/>
  <c r="T29" i="4"/>
  <c r="U29" i="4" s="1"/>
  <c r="T28" i="4"/>
  <c r="U28" i="4" s="1"/>
  <c r="T26" i="4"/>
  <c r="U26" i="4" s="1"/>
  <c r="T25" i="4"/>
  <c r="U25" i="4" s="1"/>
  <c r="T24" i="4"/>
  <c r="U24" i="4" s="1"/>
  <c r="T23" i="4"/>
  <c r="U23" i="4" s="1"/>
  <c r="T22" i="4"/>
  <c r="U22" i="4" s="1"/>
  <c r="T21" i="4"/>
  <c r="U21" i="4" s="1"/>
  <c r="T20" i="4"/>
  <c r="U20" i="4" s="1"/>
  <c r="U19" i="4"/>
  <c r="U18" i="4"/>
  <c r="T17" i="4"/>
  <c r="U17" i="4" s="1"/>
  <c r="U16" i="4"/>
  <c r="T15" i="4"/>
  <c r="U15" i="4" s="1"/>
  <c r="T14" i="4"/>
  <c r="U14" i="4" s="1"/>
  <c r="T13" i="4"/>
  <c r="U13" i="4" s="1"/>
  <c r="T12" i="4"/>
  <c r="U12" i="4" s="1"/>
  <c r="T11" i="4"/>
  <c r="U11" i="4" s="1"/>
  <c r="T10" i="4"/>
  <c r="U10" i="4" s="1"/>
  <c r="T9" i="4"/>
  <c r="U9" i="4" s="1"/>
  <c r="T8" i="4"/>
  <c r="U8" i="4" s="1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U62" i="4"/>
  <c r="U51" i="4"/>
  <c r="U38" i="4"/>
  <c r="U37" i="4"/>
  <c r="U27" i="4"/>
  <c r="U7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AH7" i="4"/>
  <c r="AE7" i="4"/>
  <c r="Q7" i="4"/>
  <c r="N7" i="4"/>
  <c r="J7" i="4"/>
  <c r="G7" i="4"/>
  <c r="AI6" i="4"/>
  <c r="AI7" i="4" l="1"/>
  <c r="AJ7" i="4" s="1"/>
  <c r="G7" i="7"/>
  <c r="AD71" i="7" l="1"/>
  <c r="AA71" i="7"/>
  <c r="W71" i="7"/>
  <c r="T71" i="7"/>
  <c r="P71" i="7"/>
  <c r="M71" i="7"/>
  <c r="J71" i="7"/>
  <c r="G71" i="7"/>
  <c r="AI71" i="7" s="1"/>
  <c r="AF85" i="6" l="1"/>
  <c r="AE85" i="6"/>
  <c r="AD85" i="6"/>
  <c r="AB85" i="6"/>
  <c r="AA85" i="6"/>
  <c r="Y85" i="6"/>
  <c r="X85" i="6"/>
  <c r="V85" i="6"/>
  <c r="U85" i="6"/>
  <c r="T85" i="6"/>
  <c r="S85" i="6"/>
  <c r="Q85" i="6"/>
  <c r="P85" i="6"/>
  <c r="O85" i="6"/>
  <c r="M85" i="6"/>
  <c r="L85" i="6"/>
  <c r="J85" i="6"/>
  <c r="I85" i="6"/>
  <c r="H85" i="6"/>
  <c r="F85" i="6"/>
  <c r="AF84" i="6"/>
  <c r="AE84" i="6"/>
  <c r="AD84" i="6"/>
  <c r="AB84" i="6"/>
  <c r="AA84" i="6"/>
  <c r="Y84" i="6"/>
  <c r="X84" i="6"/>
  <c r="V84" i="6"/>
  <c r="U84" i="6"/>
  <c r="T84" i="6"/>
  <c r="S84" i="6"/>
  <c r="Q84" i="6"/>
  <c r="P84" i="6"/>
  <c r="O84" i="6"/>
  <c r="M84" i="6"/>
  <c r="L84" i="6"/>
  <c r="J84" i="6"/>
  <c r="I84" i="6"/>
  <c r="H84" i="6"/>
  <c r="F84" i="6"/>
  <c r="AF83" i="6"/>
  <c r="AE83" i="6"/>
  <c r="AD83" i="6"/>
  <c r="AB83" i="6"/>
  <c r="AA83" i="6"/>
  <c r="Y83" i="6"/>
  <c r="X83" i="6"/>
  <c r="V83" i="6"/>
  <c r="U83" i="6"/>
  <c r="T83" i="6"/>
  <c r="S83" i="6"/>
  <c r="Q83" i="6"/>
  <c r="P83" i="6"/>
  <c r="O83" i="6"/>
  <c r="M83" i="6"/>
  <c r="L83" i="6"/>
  <c r="J83" i="6"/>
  <c r="I83" i="6"/>
  <c r="H83" i="6"/>
  <c r="F83" i="6"/>
  <c r="AF82" i="6"/>
  <c r="AF86" i="6" s="1"/>
  <c r="AE82" i="6"/>
  <c r="AE86" i="6" s="1"/>
  <c r="AD82" i="6"/>
  <c r="AD86" i="6" s="1"/>
  <c r="AB82" i="6"/>
  <c r="AB86" i="6" s="1"/>
  <c r="AA82" i="6"/>
  <c r="AA86" i="6" s="1"/>
  <c r="Y82" i="6"/>
  <c r="Y86" i="6" s="1"/>
  <c r="X82" i="6"/>
  <c r="X86" i="6" s="1"/>
  <c r="V82" i="6"/>
  <c r="V86" i="6" s="1"/>
  <c r="U82" i="6"/>
  <c r="U86" i="6" s="1"/>
  <c r="T82" i="6"/>
  <c r="T86" i="6" s="1"/>
  <c r="S82" i="6"/>
  <c r="S86" i="6" s="1"/>
  <c r="Q82" i="6"/>
  <c r="Q86" i="6" s="1"/>
  <c r="P82" i="6"/>
  <c r="P86" i="6" s="1"/>
  <c r="O82" i="6"/>
  <c r="O86" i="6" s="1"/>
  <c r="M82" i="6"/>
  <c r="M86" i="6" s="1"/>
  <c r="L82" i="6"/>
  <c r="L86" i="6" s="1"/>
  <c r="J82" i="6"/>
  <c r="J86" i="6" s="1"/>
  <c r="I82" i="6"/>
  <c r="I86" i="6" s="1"/>
  <c r="H82" i="6"/>
  <c r="H86" i="6" s="1"/>
  <c r="F82" i="6"/>
  <c r="F86" i="6" s="1"/>
  <c r="AF81" i="6"/>
  <c r="AE81" i="6"/>
  <c r="AD81" i="6"/>
  <c r="AB81" i="6"/>
  <c r="AA81" i="6"/>
  <c r="Y81" i="6"/>
  <c r="X81" i="6"/>
  <c r="V81" i="6"/>
  <c r="U81" i="6"/>
  <c r="T81" i="6"/>
  <c r="S81" i="6"/>
  <c r="Q81" i="6"/>
  <c r="P81" i="6"/>
  <c r="O81" i="6"/>
  <c r="M81" i="6"/>
  <c r="L81" i="6"/>
  <c r="J81" i="6"/>
  <c r="I81" i="6"/>
  <c r="H81" i="6"/>
  <c r="F81" i="6"/>
  <c r="AF80" i="6"/>
  <c r="AE80" i="6"/>
  <c r="AD80" i="6"/>
  <c r="AB80" i="6"/>
  <c r="AA80" i="6"/>
  <c r="Y80" i="6"/>
  <c r="X80" i="6"/>
  <c r="V80" i="6"/>
  <c r="U80" i="6"/>
  <c r="T80" i="6"/>
  <c r="S80" i="6"/>
  <c r="Q80" i="6"/>
  <c r="P80" i="6"/>
  <c r="O80" i="6"/>
  <c r="M80" i="6"/>
  <c r="L80" i="6"/>
  <c r="J80" i="6"/>
  <c r="I80" i="6"/>
  <c r="H80" i="6"/>
  <c r="F80" i="6"/>
  <c r="E85" i="6"/>
  <c r="E84" i="6"/>
  <c r="E83" i="6"/>
  <c r="E82" i="6"/>
  <c r="E86" i="6" s="1"/>
  <c r="E81" i="6"/>
  <c r="E80" i="6"/>
  <c r="G26" i="5"/>
  <c r="E9" i="8"/>
  <c r="H11" i="5"/>
  <c r="E25" i="5"/>
  <c r="H24" i="5"/>
  <c r="H21" i="5"/>
  <c r="F11" i="5"/>
  <c r="F7" i="5"/>
  <c r="H19" i="5"/>
  <c r="H20" i="5"/>
  <c r="H34" i="5"/>
  <c r="E7" i="5"/>
  <c r="E29" i="5"/>
  <c r="G17" i="5"/>
  <c r="E17" i="5"/>
  <c r="C9" i="8"/>
  <c r="G18" i="5"/>
  <c r="E8" i="8"/>
  <c r="H14" i="5"/>
  <c r="G16" i="5"/>
  <c r="E39" i="5"/>
  <c r="E19" i="5"/>
  <c r="E13" i="5"/>
  <c r="G24" i="5"/>
  <c r="G20" i="5"/>
  <c r="G11" i="5"/>
  <c r="F39" i="5"/>
  <c r="G8" i="5"/>
  <c r="F30" i="5"/>
  <c r="F17" i="5"/>
  <c r="H39" i="5"/>
  <c r="F36" i="5"/>
  <c r="E21" i="5"/>
  <c r="H30" i="5"/>
  <c r="E11" i="5"/>
  <c r="F8" i="5"/>
  <c r="H16" i="5"/>
  <c r="G36" i="5"/>
  <c r="E20" i="5"/>
  <c r="F19" i="5"/>
  <c r="E12" i="5"/>
  <c r="E16" i="5"/>
  <c r="E24" i="5"/>
  <c r="G29" i="5"/>
  <c r="E10" i="8"/>
  <c r="G40" i="5"/>
  <c r="G30" i="5"/>
  <c r="H25" i="5"/>
  <c r="E26" i="5"/>
  <c r="F13" i="5"/>
  <c r="E34" i="5"/>
  <c r="E18" i="5"/>
  <c r="F34" i="5"/>
  <c r="F14" i="5"/>
  <c r="C10" i="8"/>
  <c r="C8" i="8"/>
  <c r="F21" i="5"/>
  <c r="G13" i="5"/>
  <c r="F12" i="5"/>
  <c r="F24" i="5"/>
  <c r="F18" i="5"/>
  <c r="H26" i="5"/>
  <c r="H40" i="5"/>
  <c r="E8" i="5"/>
  <c r="G39" i="5"/>
  <c r="F25" i="5"/>
  <c r="G21" i="5"/>
  <c r="E14" i="5"/>
  <c r="G7" i="5"/>
  <c r="H29" i="5"/>
  <c r="G19" i="5"/>
  <c r="F29" i="5"/>
  <c r="F20" i="5"/>
  <c r="G25" i="5"/>
  <c r="F16" i="5"/>
  <c r="F40" i="5"/>
  <c r="E36" i="5"/>
  <c r="F26" i="5"/>
  <c r="G14" i="5"/>
  <c r="G12" i="5"/>
  <c r="E40" i="5"/>
  <c r="G34" i="5"/>
  <c r="H36" i="5"/>
  <c r="E30" i="5"/>
  <c r="I39" i="5" l="1"/>
  <c r="I40" i="5"/>
  <c r="I36" i="5"/>
  <c r="I34" i="5"/>
  <c r="I29" i="5"/>
  <c r="I30" i="5"/>
  <c r="I26" i="5"/>
  <c r="I24" i="5"/>
  <c r="I25" i="5"/>
  <c r="I16" i="5"/>
  <c r="I20" i="5"/>
  <c r="I21" i="5"/>
  <c r="I19" i="5"/>
  <c r="I14" i="5"/>
  <c r="I11" i="5"/>
  <c r="J25" i="5"/>
  <c r="J29" i="5"/>
  <c r="D8" i="8"/>
  <c r="J24" i="5"/>
  <c r="J19" i="5"/>
  <c r="J20" i="5"/>
  <c r="J36" i="5"/>
  <c r="F9" i="8"/>
  <c r="J16" i="5"/>
  <c r="J34" i="5"/>
  <c r="J39" i="5"/>
  <c r="J21" i="5"/>
  <c r="F10" i="8"/>
  <c r="D10" i="8"/>
  <c r="J14" i="5"/>
  <c r="J26" i="5"/>
  <c r="F8" i="8"/>
  <c r="J40" i="5"/>
  <c r="J30" i="5"/>
  <c r="J11" i="5"/>
  <c r="D9" i="8"/>
  <c r="G9" i="8" l="1"/>
  <c r="H9" i="8" s="1"/>
  <c r="G10" i="8"/>
  <c r="H10" i="8" s="1"/>
  <c r="G8" i="8"/>
  <c r="H8" i="8" s="1"/>
  <c r="AH85" i="7"/>
  <c r="AG85" i="7"/>
  <c r="AF85" i="7"/>
  <c r="AE85" i="7"/>
  <c r="AC85" i="7"/>
  <c r="AB85" i="7"/>
  <c r="Z85" i="7"/>
  <c r="Y85" i="7"/>
  <c r="X85" i="7"/>
  <c r="V85" i="7"/>
  <c r="U85" i="7"/>
  <c r="S85" i="7"/>
  <c r="R85" i="7"/>
  <c r="Q85" i="7"/>
  <c r="O85" i="7"/>
  <c r="N85" i="7"/>
  <c r="L85" i="7"/>
  <c r="K85" i="7"/>
  <c r="I85" i="7"/>
  <c r="H85" i="7"/>
  <c r="F85" i="7"/>
  <c r="E85" i="7"/>
  <c r="AH84" i="7"/>
  <c r="AG84" i="7"/>
  <c r="AF84" i="7"/>
  <c r="AE84" i="7"/>
  <c r="AC84" i="7"/>
  <c r="AB84" i="7"/>
  <c r="Z84" i="7"/>
  <c r="Y84" i="7"/>
  <c r="X84" i="7"/>
  <c r="V84" i="7"/>
  <c r="U84" i="7"/>
  <c r="S84" i="7"/>
  <c r="R84" i="7"/>
  <c r="Q84" i="7"/>
  <c r="O84" i="7"/>
  <c r="N84" i="7"/>
  <c r="L84" i="7"/>
  <c r="K84" i="7"/>
  <c r="I84" i="7"/>
  <c r="H84" i="7"/>
  <c r="F84" i="7"/>
  <c r="E84" i="7"/>
  <c r="AH83" i="7"/>
  <c r="AG83" i="7"/>
  <c r="AF83" i="7"/>
  <c r="AE83" i="7"/>
  <c r="AC83" i="7"/>
  <c r="AB83" i="7"/>
  <c r="Z83" i="7"/>
  <c r="Y83" i="7"/>
  <c r="X83" i="7"/>
  <c r="V83" i="7"/>
  <c r="U83" i="7"/>
  <c r="S83" i="7"/>
  <c r="R83" i="7"/>
  <c r="Q83" i="7"/>
  <c r="O83" i="7"/>
  <c r="N83" i="7"/>
  <c r="L83" i="7"/>
  <c r="K83" i="7"/>
  <c r="I83" i="7"/>
  <c r="H83" i="7"/>
  <c r="F83" i="7"/>
  <c r="E83" i="7"/>
  <c r="AH82" i="7"/>
  <c r="AH86" i="7" s="1"/>
  <c r="AG82" i="7"/>
  <c r="AG86" i="7" s="1"/>
  <c r="AF82" i="7"/>
  <c r="AF86" i="7" s="1"/>
  <c r="AE82" i="7"/>
  <c r="AE86" i="7" s="1"/>
  <c r="AC82" i="7"/>
  <c r="AC86" i="7" s="1"/>
  <c r="AB82" i="7"/>
  <c r="AB86" i="7" s="1"/>
  <c r="Z82" i="7"/>
  <c r="Z86" i="7" s="1"/>
  <c r="Y82" i="7"/>
  <c r="Y86" i="7" s="1"/>
  <c r="X82" i="7"/>
  <c r="X86" i="7" s="1"/>
  <c r="V82" i="7"/>
  <c r="V86" i="7" s="1"/>
  <c r="U82" i="7"/>
  <c r="U86" i="7" s="1"/>
  <c r="S82" i="7"/>
  <c r="S86" i="7" s="1"/>
  <c r="R82" i="7"/>
  <c r="R86" i="7" s="1"/>
  <c r="Q82" i="7"/>
  <c r="Q86" i="7" s="1"/>
  <c r="O82" i="7"/>
  <c r="O86" i="7" s="1"/>
  <c r="N82" i="7"/>
  <c r="N86" i="7" s="1"/>
  <c r="L82" i="7"/>
  <c r="L86" i="7" s="1"/>
  <c r="K82" i="7"/>
  <c r="K86" i="7" s="1"/>
  <c r="I82" i="7"/>
  <c r="I86" i="7" s="1"/>
  <c r="H82" i="7"/>
  <c r="H86" i="7" s="1"/>
  <c r="F82" i="7"/>
  <c r="F86" i="7" s="1"/>
  <c r="E82" i="7"/>
  <c r="E86" i="7" s="1"/>
  <c r="AH81" i="7"/>
  <c r="AG81" i="7"/>
  <c r="AF81" i="7"/>
  <c r="AE81" i="7"/>
  <c r="AC81" i="7"/>
  <c r="AB81" i="7"/>
  <c r="Z81" i="7"/>
  <c r="Y81" i="7"/>
  <c r="X81" i="7"/>
  <c r="V81" i="7"/>
  <c r="U81" i="7"/>
  <c r="S81" i="7"/>
  <c r="R81" i="7"/>
  <c r="Q81" i="7"/>
  <c r="O81" i="7"/>
  <c r="N81" i="7"/>
  <c r="L81" i="7"/>
  <c r="K81" i="7"/>
  <c r="I81" i="7"/>
  <c r="H81" i="7"/>
  <c r="F81" i="7"/>
  <c r="E81" i="7"/>
  <c r="AH80" i="7"/>
  <c r="AG80" i="7"/>
  <c r="AF80" i="7"/>
  <c r="AE80" i="7"/>
  <c r="AC80" i="7"/>
  <c r="AB80" i="7"/>
  <c r="Z80" i="7"/>
  <c r="Y80" i="7"/>
  <c r="X80" i="7"/>
  <c r="V80" i="7"/>
  <c r="U80" i="7"/>
  <c r="S80" i="7"/>
  <c r="R80" i="7"/>
  <c r="Q80" i="7"/>
  <c r="O80" i="7"/>
  <c r="N80" i="7"/>
  <c r="L80" i="7"/>
  <c r="K80" i="7"/>
  <c r="I80" i="7"/>
  <c r="H80" i="7"/>
  <c r="F80" i="7"/>
  <c r="E80" i="7"/>
  <c r="AD77" i="7"/>
  <c r="AA77" i="7"/>
  <c r="W77" i="7"/>
  <c r="T77" i="7"/>
  <c r="P77" i="7"/>
  <c r="M77" i="7"/>
  <c r="J77" i="7"/>
  <c r="G77" i="7"/>
  <c r="AD76" i="7"/>
  <c r="AA76" i="7"/>
  <c r="W76" i="7"/>
  <c r="T76" i="7"/>
  <c r="P76" i="7"/>
  <c r="M76" i="7"/>
  <c r="J76" i="7"/>
  <c r="G76" i="7"/>
  <c r="AD75" i="7"/>
  <c r="AA75" i="7"/>
  <c r="W75" i="7"/>
  <c r="T75" i="7"/>
  <c r="P75" i="7"/>
  <c r="M75" i="7"/>
  <c r="J75" i="7"/>
  <c r="G75" i="7"/>
  <c r="AD74" i="7"/>
  <c r="AA74" i="7"/>
  <c r="W74" i="7"/>
  <c r="T74" i="7"/>
  <c r="P74" i="7"/>
  <c r="M74" i="7"/>
  <c r="J74" i="7"/>
  <c r="G74" i="7"/>
  <c r="AD73" i="7"/>
  <c r="AA73" i="7"/>
  <c r="W73" i="7"/>
  <c r="T73" i="7"/>
  <c r="P73" i="7"/>
  <c r="M73" i="7"/>
  <c r="J73" i="7"/>
  <c r="G73" i="7"/>
  <c r="AD72" i="7"/>
  <c r="AA72" i="7"/>
  <c r="W72" i="7"/>
  <c r="T72" i="7"/>
  <c r="P72" i="7"/>
  <c r="M72" i="7"/>
  <c r="J72" i="7"/>
  <c r="G72" i="7"/>
  <c r="AD70" i="7"/>
  <c r="AA70" i="7"/>
  <c r="W70" i="7"/>
  <c r="T70" i="7"/>
  <c r="P70" i="7"/>
  <c r="M70" i="7"/>
  <c r="J70" i="7"/>
  <c r="G70" i="7"/>
  <c r="AD69" i="7"/>
  <c r="AA69" i="7"/>
  <c r="W69" i="7"/>
  <c r="T69" i="7"/>
  <c r="P69" i="7"/>
  <c r="M69" i="7"/>
  <c r="J69" i="7"/>
  <c r="G69" i="7"/>
  <c r="AD9" i="7"/>
  <c r="AA9" i="7"/>
  <c r="W9" i="7"/>
  <c r="T9" i="7"/>
  <c r="P9" i="7"/>
  <c r="M9" i="7"/>
  <c r="J9" i="7"/>
  <c r="G9" i="7"/>
  <c r="AD8" i="7"/>
  <c r="AA8" i="7"/>
  <c r="W8" i="7"/>
  <c r="T8" i="7"/>
  <c r="P8" i="7"/>
  <c r="M8" i="7"/>
  <c r="J8" i="7"/>
  <c r="G8" i="7"/>
  <c r="AD7" i="7"/>
  <c r="W7" i="7"/>
  <c r="T7" i="7"/>
  <c r="P7" i="7"/>
  <c r="M7" i="7"/>
  <c r="J7" i="7"/>
  <c r="AD68" i="7"/>
  <c r="AA68" i="7"/>
  <c r="W68" i="7"/>
  <c r="T68" i="7"/>
  <c r="P68" i="7"/>
  <c r="M68" i="7"/>
  <c r="J68" i="7"/>
  <c r="G68" i="7"/>
  <c r="AD67" i="7"/>
  <c r="AA67" i="7"/>
  <c r="W67" i="7"/>
  <c r="T67" i="7"/>
  <c r="P67" i="7"/>
  <c r="M67" i="7"/>
  <c r="J67" i="7"/>
  <c r="G67" i="7"/>
  <c r="AD66" i="7"/>
  <c r="AA66" i="7"/>
  <c r="W66" i="7"/>
  <c r="T66" i="7"/>
  <c r="P66" i="7"/>
  <c r="M66" i="7"/>
  <c r="J66" i="7"/>
  <c r="G66" i="7"/>
  <c r="AD65" i="7"/>
  <c r="AA65" i="7"/>
  <c r="W65" i="7"/>
  <c r="T65" i="7"/>
  <c r="P65" i="7"/>
  <c r="M65" i="7"/>
  <c r="J65" i="7"/>
  <c r="G65" i="7"/>
  <c r="AD64" i="7"/>
  <c r="AA64" i="7"/>
  <c r="W64" i="7"/>
  <c r="T64" i="7"/>
  <c r="P64" i="7"/>
  <c r="M64" i="7"/>
  <c r="J64" i="7"/>
  <c r="G64" i="7"/>
  <c r="AD63" i="7"/>
  <c r="AA63" i="7"/>
  <c r="W63" i="7"/>
  <c r="T63" i="7"/>
  <c r="P63" i="7"/>
  <c r="M63" i="7"/>
  <c r="J63" i="7"/>
  <c r="G63" i="7"/>
  <c r="AD62" i="7"/>
  <c r="AA62" i="7"/>
  <c r="W62" i="7"/>
  <c r="T62" i="7"/>
  <c r="P62" i="7"/>
  <c r="M62" i="7"/>
  <c r="J62" i="7"/>
  <c r="G62" i="7"/>
  <c r="AD61" i="7"/>
  <c r="AA61" i="7"/>
  <c r="W61" i="7"/>
  <c r="T61" i="7"/>
  <c r="P61" i="7"/>
  <c r="M61" i="7"/>
  <c r="J61" i="7"/>
  <c r="G61" i="7"/>
  <c r="AD60" i="7"/>
  <c r="AA60" i="7"/>
  <c r="W60" i="7"/>
  <c r="T60" i="7"/>
  <c r="P60" i="7"/>
  <c r="M60" i="7"/>
  <c r="J60" i="7"/>
  <c r="G60" i="7"/>
  <c r="AD59" i="7"/>
  <c r="AA59" i="7"/>
  <c r="W59" i="7"/>
  <c r="T59" i="7"/>
  <c r="P59" i="7"/>
  <c r="M59" i="7"/>
  <c r="J59" i="7"/>
  <c r="G59" i="7"/>
  <c r="AD58" i="7"/>
  <c r="AA58" i="7"/>
  <c r="W58" i="7"/>
  <c r="T58" i="7"/>
  <c r="P58" i="7"/>
  <c r="M58" i="7"/>
  <c r="J58" i="7"/>
  <c r="G58" i="7"/>
  <c r="AD57" i="7"/>
  <c r="AA57" i="7"/>
  <c r="W57" i="7"/>
  <c r="T57" i="7"/>
  <c r="P57" i="7"/>
  <c r="M57" i="7"/>
  <c r="J57" i="7"/>
  <c r="G57" i="7"/>
  <c r="AD56" i="7"/>
  <c r="AA56" i="7"/>
  <c r="W56" i="7"/>
  <c r="T56" i="7"/>
  <c r="P56" i="7"/>
  <c r="M56" i="7"/>
  <c r="J56" i="7"/>
  <c r="G56" i="7"/>
  <c r="AD55" i="7"/>
  <c r="AA55" i="7"/>
  <c r="W55" i="7"/>
  <c r="T55" i="7"/>
  <c r="P55" i="7"/>
  <c r="M55" i="7"/>
  <c r="J55" i="7"/>
  <c r="G55" i="7"/>
  <c r="AD54" i="7"/>
  <c r="AA54" i="7"/>
  <c r="W54" i="7"/>
  <c r="T54" i="7"/>
  <c r="P54" i="7"/>
  <c r="M54" i="7"/>
  <c r="J54" i="7"/>
  <c r="G54" i="7"/>
  <c r="AD53" i="7"/>
  <c r="AA53" i="7"/>
  <c r="W53" i="7"/>
  <c r="T53" i="7"/>
  <c r="P53" i="7"/>
  <c r="M53" i="7"/>
  <c r="J53" i="7"/>
  <c r="G53" i="7"/>
  <c r="AD52" i="7"/>
  <c r="AA52" i="7"/>
  <c r="W52" i="7"/>
  <c r="T52" i="7"/>
  <c r="P52" i="7"/>
  <c r="M52" i="7"/>
  <c r="J52" i="7"/>
  <c r="G52" i="7"/>
  <c r="AD51" i="7"/>
  <c r="AA51" i="7"/>
  <c r="W51" i="7"/>
  <c r="T51" i="7"/>
  <c r="P51" i="7"/>
  <c r="M51" i="7"/>
  <c r="J51" i="7"/>
  <c r="G51" i="7"/>
  <c r="AD50" i="7"/>
  <c r="AA50" i="7"/>
  <c r="W50" i="7"/>
  <c r="T50" i="7"/>
  <c r="P50" i="7"/>
  <c r="M50" i="7"/>
  <c r="J50" i="7"/>
  <c r="G50" i="7"/>
  <c r="AD49" i="7"/>
  <c r="AA49" i="7"/>
  <c r="W49" i="7"/>
  <c r="T49" i="7"/>
  <c r="P49" i="7"/>
  <c r="M49" i="7"/>
  <c r="J49" i="7"/>
  <c r="G49" i="7"/>
  <c r="AD48" i="7"/>
  <c r="AA48" i="7"/>
  <c r="W48" i="7"/>
  <c r="T48" i="7"/>
  <c r="P48" i="7"/>
  <c r="M48" i="7"/>
  <c r="J48" i="7"/>
  <c r="G48" i="7"/>
  <c r="AD47" i="7"/>
  <c r="AA47" i="7"/>
  <c r="W47" i="7"/>
  <c r="T47" i="7"/>
  <c r="P47" i="7"/>
  <c r="M47" i="7"/>
  <c r="J47" i="7"/>
  <c r="G47" i="7"/>
  <c r="AD46" i="7"/>
  <c r="AA46" i="7"/>
  <c r="W46" i="7"/>
  <c r="T46" i="7"/>
  <c r="P46" i="7"/>
  <c r="M46" i="7"/>
  <c r="J46" i="7"/>
  <c r="G46" i="7"/>
  <c r="AD45" i="7"/>
  <c r="AA45" i="7"/>
  <c r="W45" i="7"/>
  <c r="T45" i="7"/>
  <c r="P45" i="7"/>
  <c r="M45" i="7"/>
  <c r="J45" i="7"/>
  <c r="G45" i="7"/>
  <c r="AD44" i="7"/>
  <c r="AA44" i="7"/>
  <c r="W44" i="7"/>
  <c r="T44" i="7"/>
  <c r="P44" i="7"/>
  <c r="M44" i="7"/>
  <c r="J44" i="7"/>
  <c r="G44" i="7"/>
  <c r="AD43" i="7"/>
  <c r="AA43" i="7"/>
  <c r="W43" i="7"/>
  <c r="T43" i="7"/>
  <c r="P43" i="7"/>
  <c r="M43" i="7"/>
  <c r="J43" i="7"/>
  <c r="G43" i="7"/>
  <c r="AD42" i="7"/>
  <c r="AA42" i="7"/>
  <c r="W42" i="7"/>
  <c r="T42" i="7"/>
  <c r="P42" i="7"/>
  <c r="M42" i="7"/>
  <c r="J42" i="7"/>
  <c r="G42" i="7"/>
  <c r="AD41" i="7"/>
  <c r="AA41" i="7"/>
  <c r="W41" i="7"/>
  <c r="T41" i="7"/>
  <c r="P41" i="7"/>
  <c r="M41" i="7"/>
  <c r="J41" i="7"/>
  <c r="G41" i="7"/>
  <c r="AD40" i="7"/>
  <c r="AA40" i="7"/>
  <c r="W40" i="7"/>
  <c r="T40" i="7"/>
  <c r="P40" i="7"/>
  <c r="M40" i="7"/>
  <c r="J40" i="7"/>
  <c r="G40" i="7"/>
  <c r="AD39" i="7"/>
  <c r="AA39" i="7"/>
  <c r="W39" i="7"/>
  <c r="T39" i="7"/>
  <c r="P39" i="7"/>
  <c r="M39" i="7"/>
  <c r="J39" i="7"/>
  <c r="G39" i="7"/>
  <c r="AD38" i="7"/>
  <c r="AA38" i="7"/>
  <c r="W38" i="7"/>
  <c r="T38" i="7"/>
  <c r="P38" i="7"/>
  <c r="M38" i="7"/>
  <c r="J38" i="7"/>
  <c r="G38" i="7"/>
  <c r="AD37" i="7"/>
  <c r="AA37" i="7"/>
  <c r="W37" i="7"/>
  <c r="T37" i="7"/>
  <c r="P37" i="7"/>
  <c r="M37" i="7"/>
  <c r="J37" i="7"/>
  <c r="G37" i="7"/>
  <c r="AD36" i="7"/>
  <c r="AA36" i="7"/>
  <c r="W36" i="7"/>
  <c r="T36" i="7"/>
  <c r="P36" i="7"/>
  <c r="M36" i="7"/>
  <c r="J36" i="7"/>
  <c r="G36" i="7"/>
  <c r="AD35" i="7"/>
  <c r="AA35" i="7"/>
  <c r="W35" i="7"/>
  <c r="T35" i="7"/>
  <c r="P35" i="7"/>
  <c r="M35" i="7"/>
  <c r="J35" i="7"/>
  <c r="G35" i="7"/>
  <c r="AD34" i="7"/>
  <c r="AA34" i="7"/>
  <c r="W34" i="7"/>
  <c r="T34" i="7"/>
  <c r="P34" i="7"/>
  <c r="M34" i="7"/>
  <c r="J34" i="7"/>
  <c r="G34" i="7"/>
  <c r="AD33" i="7"/>
  <c r="AA33" i="7"/>
  <c r="W33" i="7"/>
  <c r="T33" i="7"/>
  <c r="P33" i="7"/>
  <c r="M33" i="7"/>
  <c r="J33" i="7"/>
  <c r="G33" i="7"/>
  <c r="AD32" i="7"/>
  <c r="AA32" i="7"/>
  <c r="W32" i="7"/>
  <c r="T32" i="7"/>
  <c r="P32" i="7"/>
  <c r="M32" i="7"/>
  <c r="J32" i="7"/>
  <c r="G32" i="7"/>
  <c r="AD31" i="7"/>
  <c r="AA31" i="7"/>
  <c r="W31" i="7"/>
  <c r="T31" i="7"/>
  <c r="P31" i="7"/>
  <c r="M31" i="7"/>
  <c r="J31" i="7"/>
  <c r="G31" i="7"/>
  <c r="AD30" i="7"/>
  <c r="AA30" i="7"/>
  <c r="W30" i="7"/>
  <c r="T30" i="7"/>
  <c r="P30" i="7"/>
  <c r="M30" i="7"/>
  <c r="J30" i="7"/>
  <c r="G30" i="7"/>
  <c r="AD29" i="7"/>
  <c r="AA29" i="7"/>
  <c r="W29" i="7"/>
  <c r="T29" i="7"/>
  <c r="P29" i="7"/>
  <c r="M29" i="7"/>
  <c r="J29" i="7"/>
  <c r="G29" i="7"/>
  <c r="AD28" i="7"/>
  <c r="AA28" i="7"/>
  <c r="W28" i="7"/>
  <c r="T28" i="7"/>
  <c r="P28" i="7"/>
  <c r="M28" i="7"/>
  <c r="J28" i="7"/>
  <c r="G28" i="7"/>
  <c r="AD27" i="7"/>
  <c r="AA27" i="7"/>
  <c r="W27" i="7"/>
  <c r="T27" i="7"/>
  <c r="P27" i="7"/>
  <c r="M27" i="7"/>
  <c r="J27" i="7"/>
  <c r="G27" i="7"/>
  <c r="AD26" i="7"/>
  <c r="AA26" i="7"/>
  <c r="W26" i="7"/>
  <c r="T26" i="7"/>
  <c r="P26" i="7"/>
  <c r="M26" i="7"/>
  <c r="J26" i="7"/>
  <c r="G26" i="7"/>
  <c r="AD25" i="7"/>
  <c r="AA25" i="7"/>
  <c r="W25" i="7"/>
  <c r="T25" i="7"/>
  <c r="P25" i="7"/>
  <c r="M25" i="7"/>
  <c r="J25" i="7"/>
  <c r="G25" i="7"/>
  <c r="AD24" i="7"/>
  <c r="AA24" i="7"/>
  <c r="W24" i="7"/>
  <c r="T24" i="7"/>
  <c r="P24" i="7"/>
  <c r="M24" i="7"/>
  <c r="J24" i="7"/>
  <c r="G24" i="7"/>
  <c r="AD23" i="7"/>
  <c r="AA23" i="7"/>
  <c r="W23" i="7"/>
  <c r="T23" i="7"/>
  <c r="P23" i="7"/>
  <c r="M23" i="7"/>
  <c r="J23" i="7"/>
  <c r="G23" i="7"/>
  <c r="AD22" i="7"/>
  <c r="AA22" i="7"/>
  <c r="W22" i="7"/>
  <c r="T22" i="7"/>
  <c r="P22" i="7"/>
  <c r="M22" i="7"/>
  <c r="J22" i="7"/>
  <c r="G22" i="7"/>
  <c r="AD21" i="7"/>
  <c r="AA21" i="7"/>
  <c r="W21" i="7"/>
  <c r="T21" i="7"/>
  <c r="P21" i="7"/>
  <c r="M21" i="7"/>
  <c r="J21" i="7"/>
  <c r="G21" i="7"/>
  <c r="AD20" i="7"/>
  <c r="AA20" i="7"/>
  <c r="W20" i="7"/>
  <c r="T20" i="7"/>
  <c r="P20" i="7"/>
  <c r="M20" i="7"/>
  <c r="J20" i="7"/>
  <c r="G20" i="7"/>
  <c r="AD19" i="7"/>
  <c r="AA19" i="7"/>
  <c r="W19" i="7"/>
  <c r="T19" i="7"/>
  <c r="P19" i="7"/>
  <c r="M19" i="7"/>
  <c r="J19" i="7"/>
  <c r="G19" i="7"/>
  <c r="AD18" i="7"/>
  <c r="AA18" i="7"/>
  <c r="W18" i="7"/>
  <c r="T18" i="7"/>
  <c r="P18" i="7"/>
  <c r="M18" i="7"/>
  <c r="J18" i="7"/>
  <c r="G18" i="7"/>
  <c r="AD17" i="7"/>
  <c r="AA17" i="7"/>
  <c r="W17" i="7"/>
  <c r="T17" i="7"/>
  <c r="P17" i="7"/>
  <c r="M17" i="7"/>
  <c r="J17" i="7"/>
  <c r="G17" i="7"/>
  <c r="AD16" i="7"/>
  <c r="AA16" i="7"/>
  <c r="W16" i="7"/>
  <c r="T16" i="7"/>
  <c r="P16" i="7"/>
  <c r="M16" i="7"/>
  <c r="J16" i="7"/>
  <c r="G16" i="7"/>
  <c r="AD15" i="7"/>
  <c r="AA15" i="7"/>
  <c r="W15" i="7"/>
  <c r="T15" i="7"/>
  <c r="P15" i="7"/>
  <c r="M15" i="7"/>
  <c r="J15" i="7"/>
  <c r="G15" i="7"/>
  <c r="AI15" i="7" s="1"/>
  <c r="AD14" i="7"/>
  <c r="AA14" i="7"/>
  <c r="W14" i="7"/>
  <c r="T14" i="7"/>
  <c r="P14" i="7"/>
  <c r="M14" i="7"/>
  <c r="J14" i="7"/>
  <c r="G14" i="7"/>
  <c r="AD13" i="7"/>
  <c r="AA13" i="7"/>
  <c r="W13" i="7"/>
  <c r="T13" i="7"/>
  <c r="P13" i="7"/>
  <c r="M13" i="7"/>
  <c r="J13" i="7"/>
  <c r="G13" i="7"/>
  <c r="AD12" i="7"/>
  <c r="AA12" i="7"/>
  <c r="W12" i="7"/>
  <c r="T12" i="7"/>
  <c r="P12" i="7"/>
  <c r="M12" i="7"/>
  <c r="J12" i="7"/>
  <c r="G12" i="7"/>
  <c r="AD11" i="7"/>
  <c r="AA11" i="7"/>
  <c r="W11" i="7"/>
  <c r="T11" i="7"/>
  <c r="P11" i="7"/>
  <c r="M11" i="7"/>
  <c r="J11" i="7"/>
  <c r="G11" i="7"/>
  <c r="AD10" i="7"/>
  <c r="AA10" i="7"/>
  <c r="W10" i="7"/>
  <c r="T10" i="7"/>
  <c r="P10" i="7"/>
  <c r="M10" i="7"/>
  <c r="J10" i="7"/>
  <c r="G10" i="7"/>
  <c r="AI6" i="7"/>
  <c r="F67" i="5"/>
  <c r="E72" i="5"/>
  <c r="G73" i="5"/>
  <c r="F72" i="5"/>
  <c r="H73" i="5"/>
  <c r="E58" i="5"/>
  <c r="E60" i="5"/>
  <c r="E11" i="8"/>
  <c r="G84" i="5"/>
  <c r="H74" i="5"/>
  <c r="F70" i="5"/>
  <c r="E68" i="5"/>
  <c r="E67" i="5"/>
  <c r="H79" i="5"/>
  <c r="E62" i="5"/>
  <c r="C14" i="8"/>
  <c r="F58" i="5"/>
  <c r="F55" i="5"/>
  <c r="G61" i="5"/>
  <c r="E79" i="5"/>
  <c r="F77" i="5"/>
  <c r="G55" i="5"/>
  <c r="H77" i="5"/>
  <c r="E56" i="5"/>
  <c r="G57" i="5"/>
  <c r="F68" i="5"/>
  <c r="G72" i="5"/>
  <c r="H58" i="5"/>
  <c r="E55" i="5"/>
  <c r="G65" i="5"/>
  <c r="H64" i="5"/>
  <c r="E66" i="5"/>
  <c r="F61" i="5"/>
  <c r="H57" i="5"/>
  <c r="F57" i="5"/>
  <c r="H84" i="5"/>
  <c r="F79" i="5"/>
  <c r="E84" i="5"/>
  <c r="E13" i="8"/>
  <c r="G71" i="5"/>
  <c r="G56" i="5"/>
  <c r="E64" i="5"/>
  <c r="G62" i="5"/>
  <c r="C12" i="8"/>
  <c r="G69" i="5"/>
  <c r="F73" i="5"/>
  <c r="F74" i="5"/>
  <c r="E14" i="8"/>
  <c r="G70" i="5"/>
  <c r="E70" i="5"/>
  <c r="G67" i="5"/>
  <c r="F63" i="5"/>
  <c r="F60" i="5"/>
  <c r="H72" i="5"/>
  <c r="H69" i="5"/>
  <c r="E74" i="5"/>
  <c r="E71" i="5"/>
  <c r="H68" i="5"/>
  <c r="C13" i="8"/>
  <c r="F62" i="5"/>
  <c r="E69" i="5"/>
  <c r="G77" i="5"/>
  <c r="F69" i="5"/>
  <c r="G68" i="5"/>
  <c r="F66" i="5"/>
  <c r="F65" i="5"/>
  <c r="H63" i="5"/>
  <c r="E73" i="5"/>
  <c r="E61" i="5"/>
  <c r="G63" i="5"/>
  <c r="E63" i="5"/>
  <c r="E57" i="5"/>
  <c r="F71" i="5"/>
  <c r="G66" i="5"/>
  <c r="G74" i="5"/>
  <c r="H62" i="5"/>
  <c r="H67" i="5"/>
  <c r="G64" i="5"/>
  <c r="F64" i="5"/>
  <c r="G60" i="5"/>
  <c r="C11" i="8"/>
  <c r="E12" i="8"/>
  <c r="G79" i="5"/>
  <c r="G58" i="5"/>
  <c r="E65" i="5"/>
  <c r="F56" i="5"/>
  <c r="E77" i="5"/>
  <c r="F84" i="5"/>
  <c r="AI30" i="7" l="1"/>
  <c r="AI17" i="7"/>
  <c r="M84" i="7"/>
  <c r="AI27" i="7"/>
  <c r="AI39" i="7"/>
  <c r="AI51" i="7"/>
  <c r="AI63" i="7"/>
  <c r="AI73" i="7"/>
  <c r="G83" i="7"/>
  <c r="AI16" i="7"/>
  <c r="AI37" i="7"/>
  <c r="AI52" i="7"/>
  <c r="AI70" i="7"/>
  <c r="AD80" i="7"/>
  <c r="T84" i="7"/>
  <c r="AI49" i="7"/>
  <c r="AI74" i="7"/>
  <c r="W84" i="7"/>
  <c r="AI13" i="7"/>
  <c r="AI25" i="7"/>
  <c r="AI40" i="7"/>
  <c r="AI61" i="7"/>
  <c r="T85" i="7"/>
  <c r="AI28" i="7"/>
  <c r="AI64" i="7"/>
  <c r="AD84" i="7"/>
  <c r="I58" i="5"/>
  <c r="I57" i="5"/>
  <c r="I73" i="5"/>
  <c r="I84" i="5"/>
  <c r="I67" i="5"/>
  <c r="I69" i="5"/>
  <c r="I72" i="5"/>
  <c r="I64" i="5"/>
  <c r="I79" i="5"/>
  <c r="I63" i="5"/>
  <c r="I77" i="5"/>
  <c r="I68" i="5"/>
  <c r="I62" i="5"/>
  <c r="I74" i="5"/>
  <c r="AI22" i="7"/>
  <c r="AI34" i="7"/>
  <c r="AI58" i="7"/>
  <c r="AI8" i="7"/>
  <c r="AI36" i="7"/>
  <c r="AI57" i="7"/>
  <c r="W82" i="7"/>
  <c r="W86" i="7" s="1"/>
  <c r="M85" i="7"/>
  <c r="M82" i="7"/>
  <c r="M86" i="7" s="1"/>
  <c r="AI23" i="7"/>
  <c r="AI59" i="7"/>
  <c r="P82" i="7"/>
  <c r="P86" i="7" s="1"/>
  <c r="AI12" i="7"/>
  <c r="AI33" i="7"/>
  <c r="AI60" i="7"/>
  <c r="J82" i="7"/>
  <c r="J86" i="7" s="1"/>
  <c r="AA81" i="7"/>
  <c r="AI19" i="7"/>
  <c r="AI31" i="7"/>
  <c r="AI43" i="7"/>
  <c r="AI55" i="7"/>
  <c r="AI67" i="7"/>
  <c r="AI77" i="7"/>
  <c r="P84" i="7"/>
  <c r="AI35" i="7"/>
  <c r="AD85" i="7"/>
  <c r="AI46" i="7"/>
  <c r="AI24" i="7"/>
  <c r="AD81" i="7"/>
  <c r="AI18" i="7"/>
  <c r="AI42" i="7"/>
  <c r="AI54" i="7"/>
  <c r="AI66" i="7"/>
  <c r="AI76" i="7"/>
  <c r="M83" i="7"/>
  <c r="AI38" i="7"/>
  <c r="AI62" i="7"/>
  <c r="AI72" i="7"/>
  <c r="AI11" i="7"/>
  <c r="P85" i="7"/>
  <c r="AI45" i="7"/>
  <c r="AI69" i="7"/>
  <c r="AI20" i="7"/>
  <c r="AI29" i="7"/>
  <c r="AI32" i="7"/>
  <c r="AI41" i="7"/>
  <c r="AI44" i="7"/>
  <c r="AI53" i="7"/>
  <c r="AI56" i="7"/>
  <c r="AI65" i="7"/>
  <c r="AI68" i="7"/>
  <c r="AI75" i="7"/>
  <c r="AD82" i="7"/>
  <c r="AD86" i="7" s="1"/>
  <c r="AI14" i="7"/>
  <c r="AI26" i="7"/>
  <c r="AI50" i="7"/>
  <c r="J83" i="7"/>
  <c r="AI47" i="7"/>
  <c r="AI9" i="7"/>
  <c r="T82" i="7"/>
  <c r="T86" i="7" s="1"/>
  <c r="AI21" i="7"/>
  <c r="AI48" i="7"/>
  <c r="AI7" i="7"/>
  <c r="G85" i="7"/>
  <c r="J85" i="7"/>
  <c r="M81" i="7"/>
  <c r="G82" i="7"/>
  <c r="G86" i="7" s="1"/>
  <c r="T80" i="7"/>
  <c r="W81" i="7"/>
  <c r="W83" i="7"/>
  <c r="W85" i="7"/>
  <c r="AA83" i="7"/>
  <c r="P81" i="7"/>
  <c r="J84" i="7"/>
  <c r="AI10" i="7"/>
  <c r="W80" i="7"/>
  <c r="AD83" i="7"/>
  <c r="M80" i="7"/>
  <c r="G81" i="7"/>
  <c r="AA85" i="7"/>
  <c r="J80" i="7"/>
  <c r="T81" i="7"/>
  <c r="T83" i="7"/>
  <c r="P83" i="7"/>
  <c r="AA80" i="7"/>
  <c r="AA82" i="7"/>
  <c r="AA86" i="7" s="1"/>
  <c r="AA84" i="7"/>
  <c r="G80" i="7"/>
  <c r="G84" i="7"/>
  <c r="P80" i="7"/>
  <c r="J81" i="7"/>
  <c r="H55" i="5"/>
  <c r="D14" i="8"/>
  <c r="H70" i="5"/>
  <c r="J70" i="5"/>
  <c r="J61" i="5"/>
  <c r="J68" i="5"/>
  <c r="J58" i="5"/>
  <c r="J74" i="5"/>
  <c r="H66" i="5"/>
  <c r="J72" i="5"/>
  <c r="J65" i="5"/>
  <c r="J77" i="5"/>
  <c r="J84" i="5"/>
  <c r="F13" i="8"/>
  <c r="H65" i="5"/>
  <c r="F12" i="8"/>
  <c r="H56" i="5"/>
  <c r="D12" i="8"/>
  <c r="J55" i="5"/>
  <c r="H61" i="5"/>
  <c r="F14" i="8"/>
  <c r="H60" i="5"/>
  <c r="H71" i="5"/>
  <c r="F11" i="8"/>
  <c r="J79" i="5"/>
  <c r="J57" i="5"/>
  <c r="J69" i="5"/>
  <c r="D13" i="8"/>
  <c r="J67" i="5"/>
  <c r="J71" i="5"/>
  <c r="J73" i="5"/>
  <c r="J62" i="5"/>
  <c r="J60" i="5"/>
  <c r="D11" i="8"/>
  <c r="J66" i="5"/>
  <c r="J64" i="5"/>
  <c r="J56" i="5"/>
  <c r="J63" i="5"/>
  <c r="G14" i="8" l="1"/>
  <c r="H14" i="8" s="1"/>
  <c r="G13" i="8"/>
  <c r="H13" i="8" s="1"/>
  <c r="G11" i="8"/>
  <c r="H11" i="8" s="1"/>
  <c r="G12" i="8"/>
  <c r="H12" i="8" s="1"/>
  <c r="I56" i="5"/>
  <c r="I55" i="5"/>
  <c r="I71" i="5"/>
  <c r="I70" i="5"/>
  <c r="I65" i="5"/>
  <c r="I66" i="5"/>
  <c r="I60" i="5"/>
  <c r="I61" i="5"/>
  <c r="AC73" i="6"/>
  <c r="Z73" i="6"/>
  <c r="W73" i="6"/>
  <c r="R73" i="6"/>
  <c r="N73" i="6"/>
  <c r="K73" i="6"/>
  <c r="G73" i="6"/>
  <c r="AC72" i="6"/>
  <c r="Z72" i="6"/>
  <c r="W72" i="6"/>
  <c r="R72" i="6"/>
  <c r="N72" i="6"/>
  <c r="K72" i="6"/>
  <c r="G72" i="6"/>
  <c r="AC71" i="6"/>
  <c r="Z71" i="6"/>
  <c r="W71" i="6"/>
  <c r="R71" i="6"/>
  <c r="N71" i="6"/>
  <c r="K71" i="6"/>
  <c r="G71" i="6"/>
  <c r="AC70" i="6"/>
  <c r="Z70" i="6"/>
  <c r="W70" i="6"/>
  <c r="R70" i="6"/>
  <c r="N70" i="6"/>
  <c r="K70" i="6"/>
  <c r="G70" i="6"/>
  <c r="AC69" i="6"/>
  <c r="Z69" i="6"/>
  <c r="W69" i="6"/>
  <c r="R69" i="6"/>
  <c r="N69" i="6"/>
  <c r="K69" i="6"/>
  <c r="G69" i="6"/>
  <c r="AC68" i="6"/>
  <c r="Z68" i="6"/>
  <c r="W68" i="6"/>
  <c r="R68" i="6"/>
  <c r="N68" i="6"/>
  <c r="K68" i="6"/>
  <c r="G68" i="6"/>
  <c r="AC67" i="6"/>
  <c r="Z67" i="6"/>
  <c r="W67" i="6"/>
  <c r="R67" i="6"/>
  <c r="N67" i="6"/>
  <c r="K67" i="6"/>
  <c r="G67" i="6"/>
  <c r="AC66" i="6"/>
  <c r="Z66" i="6"/>
  <c r="W66" i="6"/>
  <c r="R66" i="6"/>
  <c r="N66" i="6"/>
  <c r="K66" i="6"/>
  <c r="G66" i="6"/>
  <c r="AC65" i="6"/>
  <c r="Z65" i="6"/>
  <c r="W65" i="6"/>
  <c r="R65" i="6"/>
  <c r="N65" i="6"/>
  <c r="K65" i="6"/>
  <c r="G65" i="6"/>
  <c r="AC64" i="6"/>
  <c r="Z64" i="6"/>
  <c r="W64" i="6"/>
  <c r="R64" i="6"/>
  <c r="N64" i="6"/>
  <c r="K64" i="6"/>
  <c r="G64" i="6"/>
  <c r="AC63" i="6"/>
  <c r="Z63" i="6"/>
  <c r="W63" i="6"/>
  <c r="R63" i="6"/>
  <c r="N63" i="6"/>
  <c r="K63" i="6"/>
  <c r="G63" i="6"/>
  <c r="AC62" i="6"/>
  <c r="Z62" i="6"/>
  <c r="W62" i="6"/>
  <c r="R62" i="6"/>
  <c r="K62" i="6"/>
  <c r="G62" i="6"/>
  <c r="AC61" i="6"/>
  <c r="Z61" i="6"/>
  <c r="W61" i="6"/>
  <c r="R61" i="6"/>
  <c r="N61" i="6"/>
  <c r="K61" i="6"/>
  <c r="G61" i="6"/>
  <c r="AC60" i="6"/>
  <c r="Z60" i="6"/>
  <c r="W60" i="6"/>
  <c r="R60" i="6"/>
  <c r="N60" i="6"/>
  <c r="K60" i="6"/>
  <c r="G60" i="6"/>
  <c r="AC59" i="6"/>
  <c r="Z59" i="6"/>
  <c r="W59" i="6"/>
  <c r="R59" i="6"/>
  <c r="N59" i="6"/>
  <c r="K59" i="6"/>
  <c r="G59" i="6"/>
  <c r="AC58" i="6"/>
  <c r="Z58" i="6"/>
  <c r="W58" i="6"/>
  <c r="R58" i="6"/>
  <c r="N58" i="6"/>
  <c r="K58" i="6"/>
  <c r="G58" i="6"/>
  <c r="AC57" i="6"/>
  <c r="Z57" i="6"/>
  <c r="W57" i="6"/>
  <c r="R57" i="6"/>
  <c r="N57" i="6"/>
  <c r="K57" i="6"/>
  <c r="G57" i="6"/>
  <c r="AC56" i="6"/>
  <c r="Z56" i="6"/>
  <c r="W56" i="6"/>
  <c r="R56" i="6"/>
  <c r="N56" i="6"/>
  <c r="K56" i="6"/>
  <c r="G56" i="6"/>
  <c r="AC55" i="6"/>
  <c r="Z55" i="6"/>
  <c r="W55" i="6"/>
  <c r="R55" i="6"/>
  <c r="N55" i="6"/>
  <c r="K55" i="6"/>
  <c r="G55" i="6"/>
  <c r="AC54" i="6"/>
  <c r="Z54" i="6"/>
  <c r="W54" i="6"/>
  <c r="R54" i="6"/>
  <c r="N54" i="6"/>
  <c r="K54" i="6"/>
  <c r="G54" i="6"/>
  <c r="AC53" i="6"/>
  <c r="Z53" i="6"/>
  <c r="W53" i="6"/>
  <c r="R53" i="6"/>
  <c r="N53" i="6"/>
  <c r="K53" i="6"/>
  <c r="G53" i="6"/>
  <c r="AC52" i="6"/>
  <c r="Z52" i="6"/>
  <c r="W52" i="6"/>
  <c r="R52" i="6"/>
  <c r="N52" i="6"/>
  <c r="K52" i="6"/>
  <c r="G52" i="6"/>
  <c r="AC51" i="6"/>
  <c r="Z51" i="6"/>
  <c r="W51" i="6"/>
  <c r="R51" i="6"/>
  <c r="N51" i="6"/>
  <c r="K51" i="6"/>
  <c r="G51" i="6"/>
  <c r="AC50" i="6"/>
  <c r="Z50" i="6"/>
  <c r="W50" i="6"/>
  <c r="R50" i="6"/>
  <c r="N50" i="6"/>
  <c r="K50" i="6"/>
  <c r="G50" i="6"/>
  <c r="AC49" i="6"/>
  <c r="Z49" i="6"/>
  <c r="W49" i="6"/>
  <c r="R49" i="6"/>
  <c r="N49" i="6"/>
  <c r="K49" i="6"/>
  <c r="G49" i="6"/>
  <c r="AC48" i="6"/>
  <c r="Z48" i="6"/>
  <c r="W48" i="6"/>
  <c r="R48" i="6"/>
  <c r="N48" i="6"/>
  <c r="K48" i="6"/>
  <c r="G48" i="6"/>
  <c r="AC47" i="6"/>
  <c r="Z47" i="6"/>
  <c r="W47" i="6"/>
  <c r="R47" i="6"/>
  <c r="N47" i="6"/>
  <c r="K47" i="6"/>
  <c r="G47" i="6"/>
  <c r="AC46" i="6"/>
  <c r="Z46" i="6"/>
  <c r="W46" i="6"/>
  <c r="R46" i="6"/>
  <c r="N46" i="6"/>
  <c r="K46" i="6"/>
  <c r="G46" i="6"/>
  <c r="AC45" i="6"/>
  <c r="Z45" i="6"/>
  <c r="W45" i="6"/>
  <c r="R45" i="6"/>
  <c r="N45" i="6"/>
  <c r="K45" i="6"/>
  <c r="G45" i="6"/>
  <c r="AC44" i="6"/>
  <c r="Z44" i="6"/>
  <c r="W44" i="6"/>
  <c r="R44" i="6"/>
  <c r="N44" i="6"/>
  <c r="K44" i="6"/>
  <c r="G44" i="6"/>
  <c r="AC43" i="6"/>
  <c r="Z43" i="6"/>
  <c r="W43" i="6"/>
  <c r="R43" i="6"/>
  <c r="N43" i="6"/>
  <c r="K43" i="6"/>
  <c r="G43" i="6"/>
  <c r="AC42" i="6"/>
  <c r="Z42" i="6"/>
  <c r="W42" i="6"/>
  <c r="R42" i="6"/>
  <c r="N42" i="6"/>
  <c r="K42" i="6"/>
  <c r="G42" i="6"/>
  <c r="AC41" i="6"/>
  <c r="Z41" i="6"/>
  <c r="W41" i="6"/>
  <c r="R41" i="6"/>
  <c r="N41" i="6"/>
  <c r="K41" i="6"/>
  <c r="G41" i="6"/>
  <c r="AC40" i="6"/>
  <c r="Z40" i="6"/>
  <c r="W40" i="6"/>
  <c r="R40" i="6"/>
  <c r="N40" i="6"/>
  <c r="K40" i="6"/>
  <c r="G40" i="6"/>
  <c r="AC39" i="6"/>
  <c r="Z39" i="6"/>
  <c r="W39" i="6"/>
  <c r="R39" i="6"/>
  <c r="N39" i="6"/>
  <c r="K39" i="6"/>
  <c r="G39" i="6"/>
  <c r="AC38" i="6"/>
  <c r="Z38" i="6"/>
  <c r="W38" i="6"/>
  <c r="R38" i="6"/>
  <c r="N38" i="6"/>
  <c r="K38" i="6"/>
  <c r="G38" i="6"/>
  <c r="AC37" i="6"/>
  <c r="Z37" i="6"/>
  <c r="W37" i="6"/>
  <c r="R37" i="6"/>
  <c r="N37" i="6"/>
  <c r="K37" i="6"/>
  <c r="G37" i="6"/>
  <c r="AC36" i="6"/>
  <c r="Z36" i="6"/>
  <c r="W36" i="6"/>
  <c r="R36" i="6"/>
  <c r="N36" i="6"/>
  <c r="K36" i="6"/>
  <c r="G36" i="6"/>
  <c r="AC35" i="6"/>
  <c r="Z35" i="6"/>
  <c r="R35" i="6"/>
  <c r="N35" i="6"/>
  <c r="K35" i="6"/>
  <c r="G35" i="6"/>
  <c r="AC34" i="6"/>
  <c r="Z34" i="6"/>
  <c r="W34" i="6"/>
  <c r="R34" i="6"/>
  <c r="N34" i="6"/>
  <c r="K34" i="6"/>
  <c r="G34" i="6"/>
  <c r="AC33" i="6"/>
  <c r="Z33" i="6"/>
  <c r="W33" i="6"/>
  <c r="R33" i="6"/>
  <c r="N33" i="6"/>
  <c r="K33" i="6"/>
  <c r="G33" i="6"/>
  <c r="AC32" i="6"/>
  <c r="Z32" i="6"/>
  <c r="W32" i="6"/>
  <c r="R32" i="6"/>
  <c r="N32" i="6"/>
  <c r="K32" i="6"/>
  <c r="G32" i="6"/>
  <c r="AC31" i="6"/>
  <c r="Z31" i="6"/>
  <c r="W31" i="6"/>
  <c r="R31" i="6"/>
  <c r="N31" i="6"/>
  <c r="K31" i="6"/>
  <c r="G31" i="6"/>
  <c r="AC30" i="6"/>
  <c r="Z30" i="6"/>
  <c r="W30" i="6"/>
  <c r="R30" i="6"/>
  <c r="N30" i="6"/>
  <c r="K30" i="6"/>
  <c r="G30" i="6"/>
  <c r="AC29" i="6"/>
  <c r="Z29" i="6"/>
  <c r="W29" i="6"/>
  <c r="R29" i="6"/>
  <c r="N29" i="6"/>
  <c r="K29" i="6"/>
  <c r="G29" i="6"/>
  <c r="AC28" i="6"/>
  <c r="Z28" i="6"/>
  <c r="W28" i="6"/>
  <c r="R28" i="6"/>
  <c r="N28" i="6"/>
  <c r="K28" i="6"/>
  <c r="G28" i="6"/>
  <c r="AC27" i="6"/>
  <c r="Z27" i="6"/>
  <c r="W27" i="6"/>
  <c r="R27" i="6"/>
  <c r="N27" i="6"/>
  <c r="K27" i="6"/>
  <c r="G27" i="6"/>
  <c r="AC26" i="6"/>
  <c r="Z26" i="6"/>
  <c r="W26" i="6"/>
  <c r="R26" i="6"/>
  <c r="N26" i="6"/>
  <c r="K26" i="6"/>
  <c r="G26" i="6"/>
  <c r="AC25" i="6"/>
  <c r="Z25" i="6"/>
  <c r="W25" i="6"/>
  <c r="R25" i="6"/>
  <c r="N25" i="6"/>
  <c r="K25" i="6"/>
  <c r="G25" i="6"/>
  <c r="AC24" i="6"/>
  <c r="Z24" i="6"/>
  <c r="W24" i="6"/>
  <c r="R24" i="6"/>
  <c r="N24" i="6"/>
  <c r="K24" i="6"/>
  <c r="G24" i="6"/>
  <c r="AC23" i="6"/>
  <c r="Z23" i="6"/>
  <c r="W23" i="6"/>
  <c r="R23" i="6"/>
  <c r="N23" i="6"/>
  <c r="K23" i="6"/>
  <c r="G23" i="6"/>
  <c r="AC22" i="6"/>
  <c r="Z22" i="6"/>
  <c r="W22" i="6"/>
  <c r="R22" i="6"/>
  <c r="N22" i="6"/>
  <c r="K22" i="6"/>
  <c r="G22" i="6"/>
  <c r="AC21" i="6"/>
  <c r="Z21" i="6"/>
  <c r="W21" i="6"/>
  <c r="R21" i="6"/>
  <c r="N21" i="6"/>
  <c r="K21" i="6"/>
  <c r="G21" i="6"/>
  <c r="AC20" i="6"/>
  <c r="Z20" i="6"/>
  <c r="W20" i="6"/>
  <c r="R20" i="6"/>
  <c r="N20" i="6"/>
  <c r="K20" i="6"/>
  <c r="G20" i="6"/>
  <c r="AC19" i="6"/>
  <c r="Z19" i="6"/>
  <c r="W19" i="6"/>
  <c r="R19" i="6"/>
  <c r="N19" i="6"/>
  <c r="K19" i="6"/>
  <c r="G19" i="6"/>
  <c r="AC18" i="6"/>
  <c r="Z18" i="6"/>
  <c r="W18" i="6"/>
  <c r="R18" i="6"/>
  <c r="N18" i="6"/>
  <c r="K18" i="6"/>
  <c r="G18" i="6"/>
  <c r="AC17" i="6"/>
  <c r="Z17" i="6"/>
  <c r="W17" i="6"/>
  <c r="R17" i="6"/>
  <c r="N17" i="6"/>
  <c r="K17" i="6"/>
  <c r="G17" i="6"/>
  <c r="AC16" i="6"/>
  <c r="Z16" i="6"/>
  <c r="W16" i="6"/>
  <c r="R16" i="6"/>
  <c r="N16" i="6"/>
  <c r="K16" i="6"/>
  <c r="G16" i="6"/>
  <c r="AC15" i="6"/>
  <c r="Z15" i="6"/>
  <c r="W15" i="6"/>
  <c r="R15" i="6"/>
  <c r="N15" i="6"/>
  <c r="K15" i="6"/>
  <c r="G15" i="6"/>
  <c r="AC14" i="6"/>
  <c r="Z14" i="6"/>
  <c r="W14" i="6"/>
  <c r="R14" i="6"/>
  <c r="N14" i="6"/>
  <c r="K14" i="6"/>
  <c r="G14" i="6"/>
  <c r="AC13" i="6"/>
  <c r="Z13" i="6"/>
  <c r="W13" i="6"/>
  <c r="R13" i="6"/>
  <c r="N13" i="6"/>
  <c r="K13" i="6"/>
  <c r="G13" i="6"/>
  <c r="AC12" i="6"/>
  <c r="Z12" i="6"/>
  <c r="W12" i="6"/>
  <c r="R12" i="6"/>
  <c r="N12" i="6"/>
  <c r="K12" i="6"/>
  <c r="G12" i="6"/>
  <c r="AC11" i="6"/>
  <c r="Z11" i="6"/>
  <c r="W11" i="6"/>
  <c r="R11" i="6"/>
  <c r="N11" i="6"/>
  <c r="K11" i="6"/>
  <c r="G11" i="6"/>
  <c r="AC10" i="6"/>
  <c r="Z10" i="6"/>
  <c r="W10" i="6"/>
  <c r="R10" i="6"/>
  <c r="N10" i="6"/>
  <c r="K10" i="6"/>
  <c r="G10" i="6"/>
  <c r="AC9" i="6"/>
  <c r="Z9" i="6"/>
  <c r="W9" i="6"/>
  <c r="R9" i="6"/>
  <c r="N9" i="6"/>
  <c r="K9" i="6"/>
  <c r="G9" i="6"/>
  <c r="AC8" i="6"/>
  <c r="Z8" i="6"/>
  <c r="W8" i="6"/>
  <c r="R8" i="6"/>
  <c r="N8" i="6"/>
  <c r="K8" i="6"/>
  <c r="G8" i="6"/>
  <c r="AC7" i="6"/>
  <c r="Z7" i="6"/>
  <c r="W7" i="6"/>
  <c r="R7" i="6"/>
  <c r="N7" i="6"/>
  <c r="K7" i="6"/>
  <c r="G7" i="6"/>
  <c r="AG6" i="6"/>
  <c r="AG9" i="6" l="1"/>
  <c r="AH9" i="6" s="1"/>
  <c r="AG18" i="6"/>
  <c r="AH18" i="6" s="1"/>
  <c r="AG73" i="6"/>
  <c r="AH73" i="6" s="1"/>
  <c r="K80" i="6"/>
  <c r="K84" i="6"/>
  <c r="K81" i="6"/>
  <c r="K83" i="6"/>
  <c r="K85" i="6"/>
  <c r="K82" i="6"/>
  <c r="K86" i="6" s="1"/>
  <c r="R81" i="6"/>
  <c r="R84" i="6"/>
  <c r="R85" i="6"/>
  <c r="R82" i="6"/>
  <c r="R86" i="6" s="1"/>
  <c r="R80" i="6"/>
  <c r="R83" i="6"/>
  <c r="AG45" i="6"/>
  <c r="AH45" i="6" s="1"/>
  <c r="Z85" i="6"/>
  <c r="Z83" i="6"/>
  <c r="Z80" i="6"/>
  <c r="Z82" i="6"/>
  <c r="Z86" i="6" s="1"/>
  <c r="Z84" i="6"/>
  <c r="Z81" i="6"/>
  <c r="AC83" i="6"/>
  <c r="AC80" i="6"/>
  <c r="AC81" i="6"/>
  <c r="AC84" i="6"/>
  <c r="AC85" i="6"/>
  <c r="AC82" i="6"/>
  <c r="AC86" i="6" s="1"/>
  <c r="AG13" i="6"/>
  <c r="AH13" i="6" s="1"/>
  <c r="AG25" i="6"/>
  <c r="AH25" i="6" s="1"/>
  <c r="AG61" i="6"/>
  <c r="AH61" i="6" s="1"/>
  <c r="G84" i="6"/>
  <c r="G81" i="6"/>
  <c r="G85" i="6"/>
  <c r="G82" i="6"/>
  <c r="G86" i="6" s="1"/>
  <c r="G83" i="6"/>
  <c r="G80" i="6"/>
  <c r="N84" i="6"/>
  <c r="N81" i="6"/>
  <c r="N82" i="6"/>
  <c r="N86" i="6" s="1"/>
  <c r="N85" i="6"/>
  <c r="N83" i="6"/>
  <c r="N80" i="6"/>
  <c r="W83" i="6"/>
  <c r="W84" i="6"/>
  <c r="W81" i="6"/>
  <c r="W80" i="6"/>
  <c r="W82" i="6"/>
  <c r="W86" i="6" s="1"/>
  <c r="W85" i="6"/>
  <c r="AG17" i="6"/>
  <c r="AH17" i="6" s="1"/>
  <c r="AG70" i="6"/>
  <c r="AH70" i="6" s="1"/>
  <c r="AG49" i="6"/>
  <c r="AH49" i="6" s="1"/>
  <c r="AG41" i="6"/>
  <c r="AH41" i="6" s="1"/>
  <c r="AG46" i="6"/>
  <c r="AH46" i="6" s="1"/>
  <c r="AG58" i="6"/>
  <c r="AH58" i="6" s="1"/>
  <c r="AG57" i="6"/>
  <c r="AH57" i="6" s="1"/>
  <c r="AG53" i="6"/>
  <c r="AH53" i="6" s="1"/>
  <c r="AG11" i="6"/>
  <c r="AH11" i="6" s="1"/>
  <c r="AG35" i="6"/>
  <c r="AH35" i="6" s="1"/>
  <c r="AG52" i="6"/>
  <c r="AH52" i="6" s="1"/>
  <c r="AG29" i="6"/>
  <c r="AH29" i="6" s="1"/>
  <c r="AG26" i="6"/>
  <c r="AH26" i="6" s="1"/>
  <c r="AG38" i="6"/>
  <c r="AH38" i="6" s="1"/>
  <c r="AG33" i="6"/>
  <c r="AH33" i="6" s="1"/>
  <c r="AG59" i="6"/>
  <c r="AH59" i="6" s="1"/>
  <c r="AG37" i="6"/>
  <c r="AH37" i="6" s="1"/>
  <c r="AG21" i="6"/>
  <c r="AH21" i="6" s="1"/>
  <c r="AG43" i="6"/>
  <c r="AH43" i="6" s="1"/>
  <c r="AG8" i="6"/>
  <c r="AH8" i="6" s="1"/>
  <c r="AG15" i="6"/>
  <c r="AH15" i="6" s="1"/>
  <c r="AG30" i="6"/>
  <c r="AH30" i="6" s="1"/>
  <c r="AG56" i="6"/>
  <c r="AH56" i="6" s="1"/>
  <c r="AG63" i="6"/>
  <c r="AH63" i="6" s="1"/>
  <c r="AG65" i="6"/>
  <c r="AH65" i="6" s="1"/>
  <c r="AG22" i="6"/>
  <c r="AH22" i="6" s="1"/>
  <c r="AG48" i="6"/>
  <c r="AH48" i="6" s="1"/>
  <c r="AG55" i="6"/>
  <c r="AH55" i="6" s="1"/>
  <c r="AG68" i="6"/>
  <c r="AH68" i="6" s="1"/>
  <c r="AG64" i="6"/>
  <c r="AH64" i="6" s="1"/>
  <c r="AG36" i="6"/>
  <c r="AH36" i="6" s="1"/>
  <c r="AG20" i="6"/>
  <c r="AH20" i="6" s="1"/>
  <c r="AG27" i="6"/>
  <c r="AH27" i="6" s="1"/>
  <c r="AG42" i="6"/>
  <c r="AH42" i="6" s="1"/>
  <c r="AG31" i="6"/>
  <c r="AH31" i="6" s="1"/>
  <c r="AG16" i="6"/>
  <c r="AH16" i="6" s="1"/>
  <c r="AG40" i="6"/>
  <c r="AH40" i="6" s="1"/>
  <c r="AG47" i="6"/>
  <c r="AH47" i="6" s="1"/>
  <c r="AG62" i="6"/>
  <c r="AH62" i="6" s="1"/>
  <c r="AG67" i="6"/>
  <c r="AH67" i="6" s="1"/>
  <c r="AG69" i="6"/>
  <c r="AH69" i="6" s="1"/>
  <c r="AG24" i="6"/>
  <c r="AH24" i="6" s="1"/>
  <c r="AG44" i="6"/>
  <c r="AH44" i="6" s="1"/>
  <c r="AG23" i="6"/>
  <c r="AH23" i="6" s="1"/>
  <c r="AG14" i="6"/>
  <c r="AH14" i="6" s="1"/>
  <c r="AG12" i="6"/>
  <c r="AH12" i="6" s="1"/>
  <c r="AG19" i="6"/>
  <c r="AH19" i="6" s="1"/>
  <c r="AG34" i="6"/>
  <c r="AH34" i="6" s="1"/>
  <c r="AG60" i="6"/>
  <c r="AH60" i="6" s="1"/>
  <c r="AG71" i="6"/>
  <c r="AH71" i="6" s="1"/>
  <c r="AG51" i="6"/>
  <c r="AH51" i="6" s="1"/>
  <c r="AG28" i="6"/>
  <c r="AH28" i="6" s="1"/>
  <c r="AG50" i="6"/>
  <c r="AH50" i="6" s="1"/>
  <c r="AG32" i="6"/>
  <c r="AH32" i="6" s="1"/>
  <c r="AG39" i="6"/>
  <c r="AH39" i="6" s="1"/>
  <c r="AG54" i="6"/>
  <c r="AH54" i="6" s="1"/>
  <c r="AG72" i="6"/>
  <c r="AH72" i="6" s="1"/>
  <c r="AG7" i="6"/>
  <c r="AG66" i="6"/>
  <c r="AH66" i="6" s="1"/>
  <c r="AG10" i="6"/>
  <c r="AH10" i="6" s="1"/>
  <c r="H17" i="5"/>
  <c r="J13" i="5"/>
  <c r="H18" i="5"/>
  <c r="H12" i="5"/>
  <c r="J18" i="5"/>
  <c r="H8" i="5"/>
  <c r="J17" i="5"/>
  <c r="J7" i="5"/>
  <c r="J12" i="5"/>
  <c r="J8" i="5"/>
  <c r="H7" i="5"/>
  <c r="H13" i="5"/>
  <c r="I12" i="5" l="1"/>
  <c r="I13" i="5"/>
  <c r="I17" i="5"/>
  <c r="I18" i="5"/>
  <c r="I8" i="5"/>
  <c r="I7" i="5"/>
  <c r="AG85" i="6"/>
  <c r="AG82" i="6"/>
  <c r="AG86" i="6" s="1"/>
  <c r="AG83" i="6"/>
  <c r="AG84" i="6"/>
  <c r="AG81" i="6"/>
  <c r="AG80" i="6"/>
  <c r="AH7" i="6"/>
  <c r="AG85" i="4" l="1"/>
  <c r="AF85" i="4"/>
  <c r="AD85" i="4"/>
  <c r="AC85" i="4"/>
  <c r="AA85" i="4"/>
  <c r="Z85" i="4"/>
  <c r="Y85" i="4"/>
  <c r="W85" i="4"/>
  <c r="V85" i="4"/>
  <c r="T85" i="4"/>
  <c r="S85" i="4"/>
  <c r="R85" i="4"/>
  <c r="P85" i="4"/>
  <c r="O85" i="4"/>
  <c r="M85" i="4"/>
  <c r="L85" i="4"/>
  <c r="K85" i="4"/>
  <c r="I85" i="4"/>
  <c r="H85" i="4"/>
  <c r="F85" i="4"/>
  <c r="AG84" i="4"/>
  <c r="AF84" i="4"/>
  <c r="AD84" i="4"/>
  <c r="AC84" i="4"/>
  <c r="AA84" i="4"/>
  <c r="Z84" i="4"/>
  <c r="Y84" i="4"/>
  <c r="W84" i="4"/>
  <c r="V84" i="4"/>
  <c r="T84" i="4"/>
  <c r="S84" i="4"/>
  <c r="R84" i="4"/>
  <c r="P84" i="4"/>
  <c r="O84" i="4"/>
  <c r="M84" i="4"/>
  <c r="L84" i="4"/>
  <c r="K84" i="4"/>
  <c r="I84" i="4"/>
  <c r="H84" i="4"/>
  <c r="F84" i="4"/>
  <c r="E85" i="4"/>
  <c r="E84" i="4"/>
  <c r="E17" i="8"/>
  <c r="E16" i="8"/>
  <c r="C15" i="8"/>
  <c r="C17" i="8"/>
  <c r="E15" i="8"/>
  <c r="AG83" i="4" l="1"/>
  <c r="AF83" i="4"/>
  <c r="AD83" i="4"/>
  <c r="AC83" i="4"/>
  <c r="AA83" i="4"/>
  <c r="Z83" i="4"/>
  <c r="Y83" i="4"/>
  <c r="W83" i="4"/>
  <c r="V83" i="4"/>
  <c r="T83" i="4"/>
  <c r="S83" i="4"/>
  <c r="R83" i="4"/>
  <c r="P83" i="4"/>
  <c r="O83" i="4"/>
  <c r="M83" i="4"/>
  <c r="L83" i="4"/>
  <c r="K83" i="4"/>
  <c r="I83" i="4"/>
  <c r="H83" i="4"/>
  <c r="F83" i="4"/>
  <c r="AG82" i="4"/>
  <c r="AF82" i="4"/>
  <c r="AD82" i="4"/>
  <c r="AC82" i="4"/>
  <c r="AA82" i="4"/>
  <c r="AA86" i="4" s="1"/>
  <c r="Z82" i="4"/>
  <c r="Z86" i="4" s="1"/>
  <c r="Y82" i="4"/>
  <c r="Y86" i="4" s="1"/>
  <c r="W82" i="4"/>
  <c r="W86" i="4" s="1"/>
  <c r="V82" i="4"/>
  <c r="V86" i="4" s="1"/>
  <c r="T82" i="4"/>
  <c r="T86" i="4" s="1"/>
  <c r="S82" i="4"/>
  <c r="S86" i="4" s="1"/>
  <c r="R82" i="4"/>
  <c r="R86" i="4" s="1"/>
  <c r="P82" i="4"/>
  <c r="P86" i="4" s="1"/>
  <c r="O82" i="4"/>
  <c r="O86" i="4" s="1"/>
  <c r="M82" i="4"/>
  <c r="M86" i="4" s="1"/>
  <c r="L82" i="4"/>
  <c r="L86" i="4" s="1"/>
  <c r="K82" i="4"/>
  <c r="K86" i="4" s="1"/>
  <c r="I82" i="4"/>
  <c r="I86" i="4" s="1"/>
  <c r="H82" i="4"/>
  <c r="H86" i="4" s="1"/>
  <c r="F82" i="4"/>
  <c r="F86" i="4" s="1"/>
  <c r="AG81" i="4"/>
  <c r="AF81" i="4"/>
  <c r="AD81" i="4"/>
  <c r="AC81" i="4"/>
  <c r="AA81" i="4"/>
  <c r="Z81" i="4"/>
  <c r="Y81" i="4"/>
  <c r="W81" i="4"/>
  <c r="V81" i="4"/>
  <c r="T81" i="4"/>
  <c r="S81" i="4"/>
  <c r="R81" i="4"/>
  <c r="P81" i="4"/>
  <c r="O81" i="4"/>
  <c r="M81" i="4"/>
  <c r="L81" i="4"/>
  <c r="K81" i="4"/>
  <c r="I81" i="4"/>
  <c r="H81" i="4"/>
  <c r="F81" i="4"/>
  <c r="AG80" i="4"/>
  <c r="AF80" i="4"/>
  <c r="AD80" i="4"/>
  <c r="AC80" i="4"/>
  <c r="AA80" i="4"/>
  <c r="Z80" i="4"/>
  <c r="Y80" i="4"/>
  <c r="W80" i="4"/>
  <c r="V80" i="4"/>
  <c r="T80" i="4"/>
  <c r="S80" i="4"/>
  <c r="R80" i="4"/>
  <c r="P80" i="4"/>
  <c r="O80" i="4"/>
  <c r="M80" i="4"/>
  <c r="L80" i="4"/>
  <c r="K80" i="4"/>
  <c r="I80" i="4"/>
  <c r="H80" i="4"/>
  <c r="F80" i="4"/>
  <c r="E83" i="4"/>
  <c r="D15" i="8"/>
  <c r="G112" i="5"/>
  <c r="G123" i="5"/>
  <c r="E122" i="5"/>
  <c r="G97" i="5"/>
  <c r="H123" i="5"/>
  <c r="H118" i="5"/>
  <c r="E113" i="5"/>
  <c r="G108" i="5"/>
  <c r="H108" i="5"/>
  <c r="F103" i="5"/>
  <c r="H114" i="5"/>
  <c r="E102" i="5"/>
  <c r="H103" i="5"/>
  <c r="G114" i="5"/>
  <c r="G98" i="5"/>
  <c r="H97" i="5"/>
  <c r="F117" i="5"/>
  <c r="F95" i="5"/>
  <c r="F122" i="5"/>
  <c r="E120" i="5"/>
  <c r="G99" i="5"/>
  <c r="F104" i="5"/>
  <c r="E108" i="5"/>
  <c r="E123" i="5"/>
  <c r="F113" i="5"/>
  <c r="F102" i="5"/>
  <c r="H122" i="5"/>
  <c r="E114" i="5"/>
  <c r="F108" i="5"/>
  <c r="H99" i="5"/>
  <c r="E121" i="5"/>
  <c r="G95" i="5"/>
  <c r="F123" i="5"/>
  <c r="E95" i="5"/>
  <c r="F97" i="5"/>
  <c r="H112" i="5"/>
  <c r="H117" i="5"/>
  <c r="F114" i="5"/>
  <c r="G120" i="5"/>
  <c r="E104" i="5"/>
  <c r="F121" i="5"/>
  <c r="G121" i="5"/>
  <c r="H104" i="5"/>
  <c r="E99" i="5"/>
  <c r="G102" i="5"/>
  <c r="H98" i="5"/>
  <c r="G104" i="5"/>
  <c r="F112" i="5"/>
  <c r="G122" i="5"/>
  <c r="E112" i="5"/>
  <c r="H102" i="5"/>
  <c r="G113" i="5"/>
  <c r="E107" i="5"/>
  <c r="G118" i="5"/>
  <c r="H113" i="5"/>
  <c r="F120" i="5"/>
  <c r="G103" i="5"/>
  <c r="H107" i="5"/>
  <c r="F16" i="8"/>
  <c r="G117" i="5"/>
  <c r="E118" i="5"/>
  <c r="E103" i="5"/>
  <c r="F107" i="5"/>
  <c r="E98" i="5"/>
  <c r="F118" i="5"/>
  <c r="E117" i="5"/>
  <c r="E97" i="5"/>
  <c r="G107" i="5"/>
  <c r="F99" i="5"/>
  <c r="F98" i="5"/>
  <c r="I123" i="5" l="1"/>
  <c r="I122" i="5"/>
  <c r="AC86" i="4"/>
  <c r="AD86" i="4"/>
  <c r="AI42" i="4"/>
  <c r="AJ42" i="4" s="1"/>
  <c r="AI18" i="4"/>
  <c r="AJ18" i="4" s="1"/>
  <c r="AI30" i="4"/>
  <c r="AJ30" i="4" s="1"/>
  <c r="AI54" i="4"/>
  <c r="AJ54" i="4" s="1"/>
  <c r="AF86" i="4"/>
  <c r="AG86" i="4"/>
  <c r="I104" i="5"/>
  <c r="I108" i="5"/>
  <c r="I113" i="5"/>
  <c r="I112" i="5"/>
  <c r="I98" i="5"/>
  <c r="I114" i="5"/>
  <c r="I107" i="5"/>
  <c r="I97" i="5"/>
  <c r="I99" i="5"/>
  <c r="I117" i="5"/>
  <c r="I118" i="5"/>
  <c r="I103" i="5"/>
  <c r="I102" i="5"/>
  <c r="Q82" i="4"/>
  <c r="Q86" i="4" s="1"/>
  <c r="Q85" i="4"/>
  <c r="Q84" i="4"/>
  <c r="AI17" i="4"/>
  <c r="AJ17" i="4" s="1"/>
  <c r="J85" i="4"/>
  <c r="J84" i="4"/>
  <c r="AB84" i="4"/>
  <c r="AB85" i="4"/>
  <c r="AI41" i="4"/>
  <c r="AJ41" i="4" s="1"/>
  <c r="AI29" i="4"/>
  <c r="AJ29" i="4" s="1"/>
  <c r="AI53" i="4"/>
  <c r="AJ53" i="4" s="1"/>
  <c r="Q81" i="4"/>
  <c r="AH82" i="4"/>
  <c r="AH86" i="4" s="1"/>
  <c r="X85" i="4"/>
  <c r="X84" i="4"/>
  <c r="G81" i="4"/>
  <c r="G85" i="4"/>
  <c r="G84" i="4"/>
  <c r="N82" i="4"/>
  <c r="N86" i="4" s="1"/>
  <c r="N84" i="4"/>
  <c r="N85" i="4"/>
  <c r="U83" i="4"/>
  <c r="U84" i="4"/>
  <c r="U85" i="4"/>
  <c r="AE85" i="4"/>
  <c r="AE84" i="4"/>
  <c r="AI19" i="4"/>
  <c r="AJ19" i="4" s="1"/>
  <c r="AI44" i="4"/>
  <c r="AJ44" i="4" s="1"/>
  <c r="AE83" i="4"/>
  <c r="AI43" i="4"/>
  <c r="AJ43" i="4" s="1"/>
  <c r="AI31" i="4"/>
  <c r="AJ31" i="4" s="1"/>
  <c r="AI20" i="4"/>
  <c r="AJ20" i="4" s="1"/>
  <c r="AI55" i="4"/>
  <c r="AJ55" i="4" s="1"/>
  <c r="AI32" i="4"/>
  <c r="AJ32" i="4" s="1"/>
  <c r="AI21" i="4"/>
  <c r="AJ21" i="4" s="1"/>
  <c r="AI22" i="4"/>
  <c r="AJ22" i="4" s="1"/>
  <c r="AI9" i="4"/>
  <c r="AJ9" i="4" s="1"/>
  <c r="AI57" i="4"/>
  <c r="AJ57" i="4" s="1"/>
  <c r="AI34" i="4"/>
  <c r="AJ34" i="4" s="1"/>
  <c r="AI23" i="4"/>
  <c r="AJ23" i="4" s="1"/>
  <c r="AI59" i="4"/>
  <c r="AJ59" i="4" s="1"/>
  <c r="AI24" i="4"/>
  <c r="AJ24" i="4" s="1"/>
  <c r="AI36" i="4"/>
  <c r="AJ36" i="4" s="1"/>
  <c r="AI60" i="4"/>
  <c r="AJ60" i="4" s="1"/>
  <c r="AI45" i="4"/>
  <c r="AJ45" i="4" s="1"/>
  <c r="AI10" i="4"/>
  <c r="AJ10" i="4" s="1"/>
  <c r="AI58" i="4"/>
  <c r="AJ58" i="4" s="1"/>
  <c r="AI11" i="4"/>
  <c r="AJ11" i="4" s="1"/>
  <c r="AI35" i="4"/>
  <c r="AJ35" i="4" s="1"/>
  <c r="AI12" i="4"/>
  <c r="AJ12" i="4" s="1"/>
  <c r="AI48" i="4"/>
  <c r="AJ48" i="4" s="1"/>
  <c r="AH83" i="4"/>
  <c r="AH84" i="4"/>
  <c r="AH85" i="4"/>
  <c r="AI33" i="4"/>
  <c r="AJ33" i="4" s="1"/>
  <c r="AI46" i="4"/>
  <c r="AJ46" i="4" s="1"/>
  <c r="AI47" i="4"/>
  <c r="AJ47" i="4" s="1"/>
  <c r="AI49" i="4"/>
  <c r="AJ49" i="4" s="1"/>
  <c r="AI62" i="4"/>
  <c r="AJ62" i="4" s="1"/>
  <c r="AI15" i="4"/>
  <c r="AJ15" i="4" s="1"/>
  <c r="AI51" i="4"/>
  <c r="AJ51" i="4" s="1"/>
  <c r="AI40" i="4"/>
  <c r="AJ40" i="4" s="1"/>
  <c r="AI25" i="4"/>
  <c r="AJ25" i="4" s="1"/>
  <c r="AI61" i="4"/>
  <c r="AJ61" i="4" s="1"/>
  <c r="AI14" i="4"/>
  <c r="AJ14" i="4" s="1"/>
  <c r="AI38" i="4"/>
  <c r="AJ38" i="4" s="1"/>
  <c r="AI27" i="4"/>
  <c r="AJ27" i="4" s="1"/>
  <c r="AI63" i="4"/>
  <c r="AJ63" i="4" s="1"/>
  <c r="AI16" i="4"/>
  <c r="AJ16" i="4" s="1"/>
  <c r="AB82" i="4"/>
  <c r="AB86" i="4" s="1"/>
  <c r="AI13" i="4"/>
  <c r="AJ13" i="4" s="1"/>
  <c r="AI37" i="4"/>
  <c r="AJ37" i="4" s="1"/>
  <c r="AI26" i="4"/>
  <c r="AJ26" i="4" s="1"/>
  <c r="AI50" i="4"/>
  <c r="AJ50" i="4" s="1"/>
  <c r="AI39" i="4"/>
  <c r="AJ39" i="4" s="1"/>
  <c r="AI28" i="4"/>
  <c r="AJ28" i="4" s="1"/>
  <c r="AI52" i="4"/>
  <c r="AJ52" i="4" s="1"/>
  <c r="AI56" i="4"/>
  <c r="AJ56" i="4" s="1"/>
  <c r="AE80" i="4"/>
  <c r="G82" i="4"/>
  <c r="G86" i="4" s="1"/>
  <c r="N81" i="4"/>
  <c r="N83" i="4"/>
  <c r="U82" i="4"/>
  <c r="U86" i="4" s="1"/>
  <c r="J80" i="4"/>
  <c r="AH80" i="4"/>
  <c r="J82" i="4"/>
  <c r="J86" i="4" s="1"/>
  <c r="AB83" i="4"/>
  <c r="Q83" i="4"/>
  <c r="N80" i="4"/>
  <c r="U81" i="4"/>
  <c r="AE82" i="4"/>
  <c r="AE86" i="4" s="1"/>
  <c r="AI8" i="4"/>
  <c r="AJ8" i="4" s="1"/>
  <c r="AB81" i="4"/>
  <c r="X82" i="4"/>
  <c r="X86" i="4" s="1"/>
  <c r="AE81" i="4"/>
  <c r="G83" i="4"/>
  <c r="AB80" i="4"/>
  <c r="J81" i="4"/>
  <c r="AH81" i="4"/>
  <c r="J83" i="4"/>
  <c r="G80" i="4"/>
  <c r="U80" i="4"/>
  <c r="Q80" i="4"/>
  <c r="X80" i="4"/>
  <c r="X81" i="4"/>
  <c r="X83" i="4"/>
  <c r="E82" i="4"/>
  <c r="E86" i="4" s="1"/>
  <c r="E81" i="4"/>
  <c r="E80" i="4"/>
  <c r="E96" i="5"/>
  <c r="J102" i="5"/>
  <c r="F96" i="5"/>
  <c r="J113" i="5"/>
  <c r="J120" i="5"/>
  <c r="J108" i="5"/>
  <c r="F100" i="5"/>
  <c r="F17" i="8"/>
  <c r="J117" i="5"/>
  <c r="F101" i="5"/>
  <c r="J99" i="5"/>
  <c r="F15" i="8"/>
  <c r="J114" i="5"/>
  <c r="E101" i="5"/>
  <c r="J104" i="5"/>
  <c r="H101" i="5"/>
  <c r="E100" i="5"/>
  <c r="J118" i="5"/>
  <c r="H95" i="5"/>
  <c r="H120" i="5"/>
  <c r="H100" i="5"/>
  <c r="J123" i="5"/>
  <c r="J97" i="5"/>
  <c r="J103" i="5"/>
  <c r="H96" i="5"/>
  <c r="G101" i="5"/>
  <c r="J98" i="5"/>
  <c r="J122" i="5"/>
  <c r="J107" i="5"/>
  <c r="G96" i="5"/>
  <c r="C16" i="8"/>
  <c r="J121" i="5"/>
  <c r="J95" i="5"/>
  <c r="H121" i="5"/>
  <c r="D17" i="8"/>
  <c r="J112" i="5"/>
  <c r="G100" i="5"/>
  <c r="AL26" i="4" l="1"/>
  <c r="AL51" i="4"/>
  <c r="AL18" i="4"/>
  <c r="AL11" i="4"/>
  <c r="AL45" i="4"/>
  <c r="AL54" i="4"/>
  <c r="AL63" i="4"/>
  <c r="AL30" i="4"/>
  <c r="AL27" i="4"/>
  <c r="AL42" i="4"/>
  <c r="AL22" i="4"/>
  <c r="AL53" i="4"/>
  <c r="AL49" i="4"/>
  <c r="AL33" i="4"/>
  <c r="AL56" i="4"/>
  <c r="AL52" i="4"/>
  <c r="AL14" i="4"/>
  <c r="AL59" i="4"/>
  <c r="AL35" i="4"/>
  <c r="AL58" i="4"/>
  <c r="AL32" i="4"/>
  <c r="AL47" i="4"/>
  <c r="AL8" i="4"/>
  <c r="AL7" i="4"/>
  <c r="AL60" i="4"/>
  <c r="AL43" i="4"/>
  <c r="AL28" i="4"/>
  <c r="AL61" i="4"/>
  <c r="AL23" i="4"/>
  <c r="AL44" i="4"/>
  <c r="AL17" i="4"/>
  <c r="AL37" i="4"/>
  <c r="AL62" i="4"/>
  <c r="AL29" i="4"/>
  <c r="AL55" i="4"/>
  <c r="AL46" i="4"/>
  <c r="AL36" i="4"/>
  <c r="AL24" i="4"/>
  <c r="AL39" i="4"/>
  <c r="AL25" i="4"/>
  <c r="AL48" i="4"/>
  <c r="AL34" i="4"/>
  <c r="AL19" i="4"/>
  <c r="AL9" i="4"/>
  <c r="AL15" i="4"/>
  <c r="AL13" i="4"/>
  <c r="AL21" i="4"/>
  <c r="AL10" i="4"/>
  <c r="AL16" i="4"/>
  <c r="AL41" i="4"/>
  <c r="AL20" i="4"/>
  <c r="AL31" i="4"/>
  <c r="AL38" i="4"/>
  <c r="AL50" i="4"/>
  <c r="AL40" i="4"/>
  <c r="AL12" i="4"/>
  <c r="AL57" i="4"/>
  <c r="G15" i="8"/>
  <c r="H15" i="8" s="1"/>
  <c r="I120" i="5"/>
  <c r="I121" i="5"/>
  <c r="G17" i="8"/>
  <c r="H17" i="8" s="1"/>
  <c r="I100" i="5"/>
  <c r="I101" i="5"/>
  <c r="I96" i="5"/>
  <c r="I95" i="5"/>
  <c r="AI84" i="4"/>
  <c r="AI85" i="4"/>
  <c r="AI81" i="4"/>
  <c r="AI83" i="4"/>
  <c r="AI80" i="4"/>
  <c r="AI82" i="4"/>
  <c r="AI86" i="4" s="1"/>
  <c r="J101" i="5"/>
  <c r="J100" i="5"/>
  <c r="J96" i="5"/>
  <c r="D16" i="8"/>
  <c r="G16" i="8" l="1"/>
  <c r="H16" i="8" s="1"/>
</calcChain>
</file>

<file path=xl/sharedStrings.xml><?xml version="1.0" encoding="utf-8"?>
<sst xmlns="http://schemas.openxmlformats.org/spreadsheetml/2006/main" count="1264" uniqueCount="338">
  <si>
    <t>DSU</t>
  </si>
  <si>
    <t>DMS</t>
  </si>
  <si>
    <t>DTE</t>
  </si>
  <si>
    <t>OOP</t>
  </si>
  <si>
    <t>CGR</t>
  </si>
  <si>
    <t>EIC</t>
  </si>
  <si>
    <t>SLA</t>
  </si>
  <si>
    <t>R</t>
  </si>
  <si>
    <t>Y</t>
  </si>
  <si>
    <t>Marks obtained Lowest</t>
  </si>
  <si>
    <t>Marks Obtained Highest</t>
  </si>
  <si>
    <t>No. of students Appeared</t>
  </si>
  <si>
    <t>No. of student Passed</t>
  </si>
  <si>
    <t>% Pass</t>
  </si>
  <si>
    <t>% of students above 60%</t>
  </si>
  <si>
    <t>total Marks</t>
  </si>
  <si>
    <t xml:space="preserve">exam Seat Number </t>
  </si>
  <si>
    <t xml:space="preserve">Enrollment Number </t>
  </si>
  <si>
    <t>Student Name</t>
  </si>
  <si>
    <t>60 % Critearea</t>
  </si>
  <si>
    <t>Passing Critera Min Marks</t>
  </si>
  <si>
    <t xml:space="preserve">Course Code </t>
  </si>
  <si>
    <t>Abbrivation</t>
  </si>
  <si>
    <t>Passing Head</t>
  </si>
  <si>
    <t>SA-TH</t>
  </si>
  <si>
    <t>FA-TH</t>
  </si>
  <si>
    <t>TOTAL</t>
  </si>
  <si>
    <t>SA-PR</t>
  </si>
  <si>
    <t>FA-PR</t>
  </si>
  <si>
    <t>OSY</t>
  </si>
  <si>
    <t>STE</t>
  </si>
  <si>
    <t>ENDS</t>
  </si>
  <si>
    <t>SPI</t>
  </si>
  <si>
    <t>ITR</t>
  </si>
  <si>
    <t>ACN</t>
  </si>
  <si>
    <t> Adhau Samiksha Umesh</t>
  </si>
  <si>
    <t> Ambad Sakshi Ashok</t>
  </si>
  <si>
    <t> Ambadkar Atharv Vijay</t>
  </si>
  <si>
    <t> Band Manisha Sunil</t>
  </si>
  <si>
    <t> Bansod Gunjan Dinesh</t>
  </si>
  <si>
    <t> Bhagat Kirti Ashok</t>
  </si>
  <si>
    <t> Bhakare Dhanshri Dilip</t>
  </si>
  <si>
    <t> Bhalerao Samidha Gulabrao</t>
  </si>
  <si>
    <t> Bhandare Trupti Dinesh</t>
  </si>
  <si>
    <t> Bhirad Amruta Vitthal</t>
  </si>
  <si>
    <t> Bonde Om Santosh</t>
  </si>
  <si>
    <t> Chaturbhuj Devesh Purushottam</t>
  </si>
  <si>
    <t> Chaudhary Vineet Sanjeev</t>
  </si>
  <si>
    <t> Deore Vaishnavi Suresh</t>
  </si>
  <si>
    <t> Dhole Tanushri Nilesh</t>
  </si>
  <si>
    <t> Dhuriya Tushar Rajesh</t>
  </si>
  <si>
    <t> Gawande Shivrup Mangesh</t>
  </si>
  <si>
    <t> Ghorad Kalyani Vinod</t>
  </si>
  <si>
    <t> Ingale Neha Janrao</t>
  </si>
  <si>
    <t> Johari Om Tushar</t>
  </si>
  <si>
    <t> Kale Pratik Dnyaneshwar</t>
  </si>
  <si>
    <t> Kanoje Kirti Munnalal</t>
  </si>
  <si>
    <t> Khond Ketan Dipak</t>
  </si>
  <si>
    <t> Kirdak Vaishnavi Santosh</t>
  </si>
  <si>
    <t> Kokane Mayuri Rameshwar</t>
  </si>
  <si>
    <t> Kothare Gayatri Ganesh</t>
  </si>
  <si>
    <t> Kshirsagar Shravani Ramkumar</t>
  </si>
  <si>
    <t> Kukade Aditya Uddhavrao</t>
  </si>
  <si>
    <t> Lawhale Vaibhavi Vishnu</t>
  </si>
  <si>
    <t> Mahajan Mohit Sudhir</t>
  </si>
  <si>
    <t> Mehra Saloni Yogesh</t>
  </si>
  <si>
    <t> Mirge Shivkumar Anil</t>
  </si>
  <si>
    <t> Mutrat Rushikesh Dhanraj</t>
  </si>
  <si>
    <t> Patond Sakshi Rajesh</t>
  </si>
  <si>
    <t> Rajput Samruddhi Rajendrasingh</t>
  </si>
  <si>
    <t> Raut Purva Sanjay</t>
  </si>
  <si>
    <t> Rayborde Gaurav Mahendra</t>
  </si>
  <si>
    <t> Sapkal Sejal Santosh</t>
  </si>
  <si>
    <t> Satav Sahil Pravin</t>
  </si>
  <si>
    <t> Shejole Laxmi Ishwar</t>
  </si>
  <si>
    <t> Shekh Sahil Shekh Musa</t>
  </si>
  <si>
    <t> Sontakke Sushant Gajanan</t>
  </si>
  <si>
    <t> Swargiy Samiksha Sagar</t>
  </si>
  <si>
    <t> Talele Aditi Vijay</t>
  </si>
  <si>
    <t> Tikar Gauri Prashant</t>
  </si>
  <si>
    <t> Ugale Jagruti Laxman</t>
  </si>
  <si>
    <t> Vaitkar Sanika Rameshwar</t>
  </si>
  <si>
    <t> Wahane Priya Jagadish</t>
  </si>
  <si>
    <t>Sarode Charan Sanjay</t>
  </si>
  <si>
    <t>Raut Vidya Anil</t>
  </si>
  <si>
    <t>Kaldate Ankita Shrikrushna</t>
  </si>
  <si>
    <t>Lengare Sakshi Rajendra</t>
  </si>
  <si>
    <t>Gondal Sanchita Sunil</t>
  </si>
  <si>
    <t>Khandare Ritesh Kiran</t>
  </si>
  <si>
    <t>Lomte Yash Sanjay</t>
  </si>
  <si>
    <t>Mrunali Sanjay Suryavanshi</t>
  </si>
  <si>
    <t>Tagad Radha Manik</t>
  </si>
  <si>
    <t>BMS</t>
  </si>
  <si>
    <t>BSC</t>
  </si>
  <si>
    <t>ENG</t>
  </si>
  <si>
    <t>EGP</t>
  </si>
  <si>
    <t>WPC</t>
  </si>
  <si>
    <t>ICT</t>
  </si>
  <si>
    <t>YAM</t>
  </si>
  <si>
    <t>Total</t>
  </si>
  <si>
    <t>Exam Seat Number</t>
  </si>
  <si>
    <t>Name of Student</t>
  </si>
  <si>
    <t>Percentage</t>
  </si>
  <si>
    <t>Rank</t>
  </si>
  <si>
    <t>Abu Talha Abdul Arif</t>
  </si>
  <si>
    <t>EX</t>
  </si>
  <si>
    <t>AB</t>
  </si>
  <si>
    <t>Ade Sanskruti Suresh</t>
  </si>
  <si>
    <t>Attarkar Shailesh Shrikrushna</t>
  </si>
  <si>
    <t>Awazade Yash Shankar</t>
  </si>
  <si>
    <t>Bagade Dhani Dhammadip</t>
  </si>
  <si>
    <t>Bhagat Bharti Rahul</t>
  </si>
  <si>
    <t>Bhakare Dnyaneshwari Dilip</t>
  </si>
  <si>
    <t>Borkar Gouri Sharad</t>
  </si>
  <si>
    <t>Chambhare Saumya Sanjay</t>
  </si>
  <si>
    <t>Chaudhari Niraj Madhukar</t>
  </si>
  <si>
    <t>Chavan Vedika Bhausaheb</t>
  </si>
  <si>
    <t>Chayal Suhana Vinay</t>
  </si>
  <si>
    <t>DS</t>
  </si>
  <si>
    <t>Chopde Amruta Mahesh</t>
  </si>
  <si>
    <t>Choube Komal Gopal</t>
  </si>
  <si>
    <t>Dalvi Arjun Samadhan</t>
  </si>
  <si>
    <t>Dhamnikar Aditi Atul</t>
  </si>
  <si>
    <t>Dhoran Rakhi Anatrav</t>
  </si>
  <si>
    <t>Dhore Roshan Purushottam</t>
  </si>
  <si>
    <t>Dhore Sarika Dinkar</t>
  </si>
  <si>
    <t>Gaikwad Samiksha Suresh</t>
  </si>
  <si>
    <t>Gawali Himanshu Ashok</t>
  </si>
  <si>
    <t>Gawande Adhiraj Shailendra</t>
  </si>
  <si>
    <t>Ghogare Dnyaneshwari Ganesh</t>
  </si>
  <si>
    <t>Golait Bhumika Santosh</t>
  </si>
  <si>
    <t>Gulalkari Sarthak Ravindra</t>
  </si>
  <si>
    <t>Gulhane Sanskruti Pravin</t>
  </si>
  <si>
    <t>Ingle Ishwari Virendra</t>
  </si>
  <si>
    <t>Ingle Pratiksha Samadhan</t>
  </si>
  <si>
    <t>Jaybhaye Avinash Ramesh</t>
  </si>
  <si>
    <t>Kajale Sunny Murlidhar</t>
  </si>
  <si>
    <t>Kalamb Sakshi Shrikrishna</t>
  </si>
  <si>
    <t>Kale Bhavesh Bhagavat</t>
  </si>
  <si>
    <t>Kale Bhavesh Rupeshrao</t>
  </si>
  <si>
    <t>Kale Gauri Mangesh</t>
  </si>
  <si>
    <t>Karale Umesh Shivlal</t>
  </si>
  <si>
    <t>Khandare Shreya Pandurang</t>
  </si>
  <si>
    <t>Khandel Dhananjay Nilesh</t>
  </si>
  <si>
    <t>Kurmi Dhanshree Premchand</t>
  </si>
  <si>
    <t>Lingayat Madhura Laxmikant</t>
  </si>
  <si>
    <t>Lokare Sharwari Amol</t>
  </si>
  <si>
    <t>Manjare Vedant Dinesh</t>
  </si>
  <si>
    <t>Mankar Rutuja Sanjay</t>
  </si>
  <si>
    <t>Mankhair Vaibhavi Santosh</t>
  </si>
  <si>
    <t>Moraskar Roshani Sudhir</t>
  </si>
  <si>
    <t>Munge Paras Prafulla</t>
  </si>
  <si>
    <t>Najardhane Dhanashri Mohan</t>
  </si>
  <si>
    <t>Nathe Gauri Devidas</t>
  </si>
  <si>
    <t>Nirmal Rajeshwari Dnyaneshwar</t>
  </si>
  <si>
    <t>Pature Tara Dnyaneshwar</t>
  </si>
  <si>
    <t>Rathod Nikhil Avinash</t>
  </si>
  <si>
    <t>Rawane Yash Rajesh</t>
  </si>
  <si>
    <t>Sangole Sujal Ravindra</t>
  </si>
  <si>
    <t>Sarnaik Shravan Rajesh</t>
  </si>
  <si>
    <t>Sarode Ishwari Anil</t>
  </si>
  <si>
    <t>Shegokar Vaibhav Mangesh</t>
  </si>
  <si>
    <t>Shekokar Aditya Kailas</t>
  </si>
  <si>
    <t>Sirsath Umesh Bhagwan</t>
  </si>
  <si>
    <t>Suroshe Om Sandip</t>
  </si>
  <si>
    <t>Tale Ashwini Sanjay</t>
  </si>
  <si>
    <t>Tale Tanuja Sadanand</t>
  </si>
  <si>
    <t>Talole Rajshri Gajanan</t>
  </si>
  <si>
    <t>Thakare Hariom Ravindra</t>
  </si>
  <si>
    <t>Thutte Nandkishor Shankar</t>
  </si>
  <si>
    <t>Upadhye Krushna Pankaj</t>
  </si>
  <si>
    <t>Wankhade Ujwal Sandip</t>
  </si>
  <si>
    <t>Yeul Vedika Sanjay</t>
  </si>
  <si>
    <t>Pratik Verma</t>
  </si>
  <si>
    <t>TOTAL MARKS SECURED BY ALL STUDENTS</t>
  </si>
  <si>
    <t>Babhulkar Manisha Vasanta</t>
  </si>
  <si>
    <t>Badgujar Amogh Murlidhar</t>
  </si>
  <si>
    <t>Bhagat Piyush Gajanan</t>
  </si>
  <si>
    <t>Bhondane Rajesh Ramesh</t>
  </si>
  <si>
    <t>Bhople Vedant Vinod</t>
  </si>
  <si>
    <t>Bhosale Soham Haridas</t>
  </si>
  <si>
    <t>Deshmukh Dhanashri Gajanan</t>
  </si>
  <si>
    <t>Deshmukh Mohit Rajesh</t>
  </si>
  <si>
    <t>Dhotre Samarth Purushottam</t>
  </si>
  <si>
    <t>Farkade Bharati Maroti</t>
  </si>
  <si>
    <t>Fatkar Rushabh Anil</t>
  </si>
  <si>
    <t>Fulari Mayuri Kishor</t>
  </si>
  <si>
    <t>Gadekar Ajit Madan</t>
  </si>
  <si>
    <t>Gavhale Premraj Anil</t>
  </si>
  <si>
    <t>Gavhande Punam Dadarao</t>
  </si>
  <si>
    <t>Gawai Akshada Prakash</t>
  </si>
  <si>
    <t>Gawai Kajal Kiran</t>
  </si>
  <si>
    <t>Harpale Sagar Satish</t>
  </si>
  <si>
    <t>Ingle Aditya Ganesh</t>
  </si>
  <si>
    <t>Ingle Arjun Nandkishor</t>
  </si>
  <si>
    <t>Ingle Saksham Bhimrao</t>
  </si>
  <si>
    <t>Kadam Rutuja Ramesh</t>
  </si>
  <si>
    <t>Karpate Sahil Ganesh</t>
  </si>
  <si>
    <t>Kausal Gauri Girish</t>
  </si>
  <si>
    <t>Kaware Kartik Dadarao</t>
  </si>
  <si>
    <t>Kendre Vishwanath Dagdu</t>
  </si>
  <si>
    <t>Khirale Tanuja Raju</t>
  </si>
  <si>
    <t>Khumkar Aman Vilas</t>
  </si>
  <si>
    <t>Kulat Gauri Sanjay</t>
  </si>
  <si>
    <t>Mapari Monika Surendra</t>
  </si>
  <si>
    <t>Mohammad Altamash Abdul Aleem</t>
  </si>
  <si>
    <t>Mohe Sanjana Rajabhau</t>
  </si>
  <si>
    <t>More Vivek Bhavarao</t>
  </si>
  <si>
    <t>Mudbe Pratiksha Ankush</t>
  </si>
  <si>
    <t>Nimkande Soham Ganesh</t>
  </si>
  <si>
    <t>Pandey Chetan Shyamsundar</t>
  </si>
  <si>
    <t>Pandhare Vedika Sudhakar</t>
  </si>
  <si>
    <t>Panzade Pratik Dilip</t>
  </si>
  <si>
    <t>Pature Aachal Santosh</t>
  </si>
  <si>
    <t>Rathod Chetana Sudhir</t>
  </si>
  <si>
    <t>Rathod Yogini Baldev</t>
  </si>
  <si>
    <t>Raut Sumit Satyashil</t>
  </si>
  <si>
    <t>Sarnaik Prachi Sunilrao</t>
  </si>
  <si>
    <t>Satav Kshitij Raju</t>
  </si>
  <si>
    <t>Sharma Gauri Dipak</t>
  </si>
  <si>
    <t>Sirsat Poonam Prashant</t>
  </si>
  <si>
    <t>Sonone Kunal Ulhas</t>
  </si>
  <si>
    <t>Tale Siddhesh Dnyanesh</t>
  </si>
  <si>
    <t>Tayade Diya Raju</t>
  </si>
  <si>
    <t>Tayade Madhavi Purushottam</t>
  </si>
  <si>
    <t>Tayde Samyak Ravindra</t>
  </si>
  <si>
    <t>Tolmare Bhagyashri. Shri.Hari</t>
  </si>
  <si>
    <t>Tomar Pranav Pramodsingh</t>
  </si>
  <si>
    <t>Umbarkar Swanandi Nilesh</t>
  </si>
  <si>
    <t>Wahurwagh Prachi Rahul</t>
  </si>
  <si>
    <t>Wankhade Pallavi Raju</t>
  </si>
  <si>
    <t>Wankhade Prasad Shrikant</t>
  </si>
  <si>
    <t>Yenkar Shivam Prakash</t>
  </si>
  <si>
    <t>Zagde Vedangi Sanjay</t>
  </si>
  <si>
    <t>Rajput Rudrapratap Madhavsingh</t>
  </si>
  <si>
    <t>Sarkate Samiksha Dnyaneshwar</t>
  </si>
  <si>
    <t xml:space="preserve">Tayade Purva Prakash </t>
  </si>
  <si>
    <t xml:space="preserve">Kathalkar Gauri Gopal </t>
  </si>
  <si>
    <t xml:space="preserve">Tayade Anjali Rahul </t>
  </si>
  <si>
    <t>Babhulkar Shubham Sunil</t>
  </si>
  <si>
    <t>Dhawane Tushar Sanjay</t>
  </si>
  <si>
    <t>Gulhane Maithili Sandip</t>
  </si>
  <si>
    <t>Rathod Kiran Anil</t>
  </si>
  <si>
    <t>Thakare Suhani Pujaji</t>
  </si>
  <si>
    <t>Khillare Shubham Karbhari</t>
  </si>
  <si>
    <t>Vinchurkar Meet Santosh</t>
  </si>
  <si>
    <t xml:space="preserve">Maharashtra State Board of Technical Education </t>
  </si>
  <si>
    <t>K7(Part B)</t>
  </si>
  <si>
    <t>ANALYSIS OF TERM END EXAMINATION RESULT</t>
  </si>
  <si>
    <t xml:space="preserve">Institute Name: </t>
  </si>
  <si>
    <t>Government Polytechnic Murtijapur</t>
  </si>
  <si>
    <t>Programme:</t>
  </si>
  <si>
    <t xml:space="preserve">Computer Engineering </t>
  </si>
  <si>
    <t>Semester: CO1K</t>
  </si>
  <si>
    <t>Exam:</t>
  </si>
  <si>
    <t>Winter-25</t>
  </si>
  <si>
    <t>Sr. No.</t>
  </si>
  <si>
    <t>Course Code</t>
  </si>
  <si>
    <t>Name of Course</t>
  </si>
  <si>
    <t>F</t>
  </si>
  <si>
    <t>G</t>
  </si>
  <si>
    <t>E</t>
  </si>
  <si>
    <t>NA</t>
  </si>
  <si>
    <t>H</t>
  </si>
  <si>
    <t>Q</t>
  </si>
  <si>
    <t>P</t>
  </si>
  <si>
    <t>S</t>
  </si>
  <si>
    <t>T</t>
  </si>
  <si>
    <t>J</t>
  </si>
  <si>
    <t>K</t>
  </si>
  <si>
    <t>I</t>
  </si>
  <si>
    <t>M</t>
  </si>
  <si>
    <t>L</t>
  </si>
  <si>
    <t>O</t>
  </si>
  <si>
    <t>AA</t>
  </si>
  <si>
    <t>AD</t>
  </si>
  <si>
    <t>X</t>
  </si>
  <si>
    <t>AE</t>
  </si>
  <si>
    <t>AF</t>
  </si>
  <si>
    <t>V</t>
  </si>
  <si>
    <t>U</t>
  </si>
  <si>
    <t xml:space="preserve">Signature of Academic Coordinator </t>
  </si>
  <si>
    <t xml:space="preserve">Signature of HOD </t>
  </si>
  <si>
    <t>Name : Smt. Varsha M.Aswar</t>
  </si>
  <si>
    <t>Name: Dr.P.R.Satav</t>
  </si>
  <si>
    <t>Semester: CO3K</t>
  </si>
  <si>
    <t>K7 (Part B)</t>
  </si>
  <si>
    <t>Semester: CO5K</t>
  </si>
  <si>
    <t>CAN</t>
  </si>
  <si>
    <t>N</t>
  </si>
  <si>
    <t>Z</t>
  </si>
  <si>
    <t>AC</t>
  </si>
  <si>
    <t>AG</t>
  </si>
  <si>
    <t>AH</t>
  </si>
  <si>
    <t>W</t>
  </si>
  <si>
    <t>Institute Name: Government Polytechnic Murtijapur</t>
  </si>
  <si>
    <t>Academic Year :</t>
  </si>
  <si>
    <t>2025-26</t>
  </si>
  <si>
    <t>Programme Name:</t>
  </si>
  <si>
    <t>Computer Engineering</t>
  </si>
  <si>
    <t>COURSE TITLE</t>
  </si>
  <si>
    <t>FA_TH SCORE INDEX (LAST TWO TERMS)</t>
  </si>
  <si>
    <t>SA_TH SCORE INDEX</t>
  </si>
  <si>
    <t>DIFFERENCE</t>
  </si>
  <si>
    <t>If difference is greater than 20% Give remarks</t>
  </si>
  <si>
    <t>SI</t>
  </si>
  <si>
    <t>311302 BMS</t>
  </si>
  <si>
    <t>311303 ENG</t>
  </si>
  <si>
    <t>311305 BSC</t>
  </si>
  <si>
    <t>313301  DSU</t>
  </si>
  <si>
    <t>313302  DMS</t>
  </si>
  <si>
    <t>313303  DTE</t>
  </si>
  <si>
    <t>313304  OOP</t>
  </si>
  <si>
    <t>315319  OSY</t>
  </si>
  <si>
    <t>315323  STE</t>
  </si>
  <si>
    <t>315321  ACN</t>
  </si>
  <si>
    <t>W25</t>
  </si>
  <si>
    <t>FA</t>
  </si>
  <si>
    <t>SA</t>
  </si>
  <si>
    <t>TOAL Marks  as per scheme</t>
  </si>
  <si>
    <t>CO1K</t>
  </si>
  <si>
    <t>CO3K</t>
  </si>
  <si>
    <t>CO5K</t>
  </si>
  <si>
    <t>q</t>
  </si>
  <si>
    <t>p</t>
  </si>
  <si>
    <t>Fail</t>
  </si>
  <si>
    <t xml:space="preserve">First Class with Distinction </t>
  </si>
  <si>
    <t>A.T.K.T</t>
  </si>
  <si>
    <t>First class</t>
  </si>
  <si>
    <t>First Class With Distincion</t>
  </si>
  <si>
    <t>Pass</t>
  </si>
  <si>
    <t>First Class Con</t>
  </si>
  <si>
    <t>First Class</t>
  </si>
  <si>
    <t xml:space="preserve">First Calss With Distinction </t>
  </si>
  <si>
    <t>First Calss Con</t>
  </si>
  <si>
    <t>First Class with Distinction Con</t>
  </si>
  <si>
    <t>Ds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</si>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</sst>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333333"/>
      <name val="Times New Roman"/>
      <family val="1"/>
    </font>
    <font>
      <b/>
      <sz val="1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1B242E"/>
      <name val="Times New Roman"/>
      <family val="1"/>
    </font>
    <font>
      <b/>
      <sz val="12"/>
      <color rgb="FF1B242E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3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2" fontId="2" fillId="0" borderId="1" xfId="0" applyNumberFormat="1" applyFont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5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1" xfId="0" applyFont="1" applyFill="1" applyBorder="1" applyAlignment="1">
      <alignment wrapText="1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horizontal="center" vertical="center"/>
    </xf>
    <xf numFmtId="0" fontId="2" fillId="3" borderId="8" xfId="0" applyFont="1" applyFill="1" applyBorder="1"/>
    <xf numFmtId="0" fontId="3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Append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opLeftCell="A103" zoomScale="89" zoomScaleNormal="89" workbookViewId="0">
      <selection activeCell="K1" sqref="K1:L1048576"/>
    </sheetView>
  </sheetViews>
  <sheetFormatPr defaultRowHeight="14.4" x14ac:dyDescent="0.3"/>
  <cols>
    <col min="1" max="1" width="4.33203125" customWidth="1"/>
    <col min="2" max="2" width="8.33203125" customWidth="1"/>
    <col min="3" max="3" width="8.5546875" customWidth="1"/>
    <col min="6" max="6" width="9.6640625" bestFit="1" customWidth="1"/>
    <col min="9" max="9" width="8.44140625" customWidth="1"/>
    <col min="10" max="10" width="10.6640625" customWidth="1"/>
    <col min="11" max="11" width="3.6640625" customWidth="1"/>
  </cols>
  <sheetData>
    <row r="1" spans="1:12" ht="18" x14ac:dyDescent="0.35">
      <c r="A1" s="128" t="s">
        <v>246</v>
      </c>
      <c r="B1" s="128"/>
      <c r="C1" s="128"/>
      <c r="D1" s="128"/>
      <c r="E1" s="128"/>
      <c r="F1" s="128"/>
      <c r="G1" s="128"/>
      <c r="H1" s="128"/>
      <c r="I1" s="128"/>
      <c r="J1" s="36" t="s">
        <v>247</v>
      </c>
    </row>
    <row r="2" spans="1:12" ht="18" x14ac:dyDescent="0.35">
      <c r="A2" s="128" t="s">
        <v>248</v>
      </c>
      <c r="B2" s="128"/>
      <c r="C2" s="128"/>
      <c r="D2" s="128"/>
      <c r="E2" s="128"/>
      <c r="F2" s="128"/>
      <c r="G2" s="128"/>
      <c r="H2" s="128"/>
      <c r="I2" s="128"/>
      <c r="J2" s="37"/>
    </row>
    <row r="3" spans="1:12" ht="18" x14ac:dyDescent="0.35">
      <c r="A3" s="123" t="s">
        <v>249</v>
      </c>
      <c r="B3" s="123"/>
      <c r="C3" s="123"/>
      <c r="D3" s="124" t="s">
        <v>250</v>
      </c>
      <c r="E3" s="124"/>
      <c r="F3" s="124"/>
      <c r="G3" s="124"/>
      <c r="H3" s="124"/>
      <c r="I3" s="124"/>
      <c r="J3" s="37"/>
    </row>
    <row r="4" spans="1:12" x14ac:dyDescent="0.3">
      <c r="A4" s="125" t="s">
        <v>251</v>
      </c>
      <c r="B4" s="125"/>
      <c r="C4" s="125"/>
      <c r="D4" s="125"/>
      <c r="E4" s="126" t="s">
        <v>252</v>
      </c>
      <c r="F4" s="126"/>
      <c r="G4" s="126"/>
      <c r="H4" s="38"/>
      <c r="I4" s="38"/>
      <c r="J4" s="37"/>
    </row>
    <row r="5" spans="1:12" x14ac:dyDescent="0.3">
      <c r="E5" s="126" t="s">
        <v>253</v>
      </c>
      <c r="F5" s="126"/>
      <c r="G5" s="38" t="s">
        <v>254</v>
      </c>
      <c r="H5" s="127" t="s">
        <v>255</v>
      </c>
      <c r="I5" s="127"/>
      <c r="J5" s="37"/>
    </row>
    <row r="6" spans="1:12" ht="43.2" x14ac:dyDescent="0.3">
      <c r="A6" s="39" t="s">
        <v>256</v>
      </c>
      <c r="B6" s="39" t="s">
        <v>257</v>
      </c>
      <c r="C6" s="39" t="s">
        <v>258</v>
      </c>
      <c r="D6" s="39" t="s">
        <v>23</v>
      </c>
      <c r="E6" s="40" t="s">
        <v>9</v>
      </c>
      <c r="F6" s="40" t="s">
        <v>10</v>
      </c>
      <c r="G6" s="40" t="s">
        <v>11</v>
      </c>
      <c r="H6" s="40" t="s">
        <v>12</v>
      </c>
      <c r="I6" s="40" t="s">
        <v>13</v>
      </c>
      <c r="J6" s="41" t="s">
        <v>14</v>
      </c>
    </row>
    <row r="7" spans="1:12" ht="15.6" x14ac:dyDescent="0.3">
      <c r="A7" s="117">
        <v>1</v>
      </c>
      <c r="B7" s="117">
        <v>311302</v>
      </c>
      <c r="C7" s="117" t="s">
        <v>92</v>
      </c>
      <c r="D7" s="1" t="s">
        <v>25</v>
      </c>
      <c r="E7" s="10">
        <f ca="1">IFERROR(INDIRECT("'CO1K'!" &amp; K7 &amp; $E$42),"")</f>
        <v>1</v>
      </c>
      <c r="F7" s="10">
        <f ca="1">IFERROR(INDIRECT("'CO1K'!" &amp; K7 &amp; $F$42),"")</f>
        <v>30</v>
      </c>
      <c r="G7" s="10">
        <f ca="1">IFERROR(INDIRECT("'CO1K'!" &amp; K7 &amp; $G$42),"")</f>
        <v>66</v>
      </c>
      <c r="H7" s="10">
        <f ca="1">IFERROR(INDIRECT("'CO1K'!" &amp; L7 &amp; $H$42),"")</f>
        <v>61</v>
      </c>
      <c r="I7" s="42">
        <f ca="1">IFERROR(H7/G7*100,"")</f>
        <v>92.424242424242422</v>
      </c>
      <c r="J7" s="42">
        <f ca="1">IFERROR(INDIRECT("'CO1K'!" &amp; L7 &amp; $J$42)/G7*100,"")</f>
        <v>75.757575757575751</v>
      </c>
      <c r="K7" t="s">
        <v>259</v>
      </c>
      <c r="L7" t="s">
        <v>260</v>
      </c>
    </row>
    <row r="8" spans="1:12" ht="15.6" x14ac:dyDescent="0.3">
      <c r="A8" s="118"/>
      <c r="B8" s="118"/>
      <c r="C8" s="118"/>
      <c r="D8" s="1" t="s">
        <v>24</v>
      </c>
      <c r="E8" s="10">
        <f ca="1">IFERROR(INDIRECT("'CO1K'!" &amp; K8 &amp; $E$42),"")</f>
        <v>19</v>
      </c>
      <c r="F8" s="10">
        <f ca="1">IFERROR(INDIRECT("'CO1K'!" &amp; K8 &amp; $F$42),"")</f>
        <v>70</v>
      </c>
      <c r="G8" s="10">
        <f ca="1">IFERROR(INDIRECT("'CO1K'!" &amp; K8 &amp; $G$42),"")</f>
        <v>64</v>
      </c>
      <c r="H8" s="10">
        <f ca="1">IFERROR(INDIRECT("'CO1K'!" &amp; L8 &amp; $H$42),"")</f>
        <v>61</v>
      </c>
      <c r="I8" s="42">
        <f ca="1">IFERROR(H8/G8*100,"")</f>
        <v>95.3125</v>
      </c>
      <c r="J8" s="42">
        <f ca="1">IFERROR(INDIRECT("'CO1K'!" &amp; L8 &amp; $J$42)/G8*100,"")</f>
        <v>78.125</v>
      </c>
      <c r="K8" t="s">
        <v>261</v>
      </c>
      <c r="L8" t="s">
        <v>260</v>
      </c>
    </row>
    <row r="9" spans="1:12" ht="15.6" x14ac:dyDescent="0.3">
      <c r="A9" s="118"/>
      <c r="B9" s="118"/>
      <c r="C9" s="118"/>
      <c r="D9" s="1" t="s">
        <v>28</v>
      </c>
      <c r="E9" s="43" t="s">
        <v>262</v>
      </c>
      <c r="F9" s="43" t="s">
        <v>262</v>
      </c>
      <c r="G9" s="43" t="s">
        <v>262</v>
      </c>
      <c r="H9" s="43" t="s">
        <v>262</v>
      </c>
      <c r="I9" s="44" t="s">
        <v>262</v>
      </c>
      <c r="J9" s="44" t="s">
        <v>262</v>
      </c>
    </row>
    <row r="10" spans="1:12" ht="15.6" x14ac:dyDescent="0.3">
      <c r="A10" s="118"/>
      <c r="B10" s="118"/>
      <c r="C10" s="118"/>
      <c r="D10" s="1" t="s">
        <v>27</v>
      </c>
      <c r="E10" s="43" t="s">
        <v>262</v>
      </c>
      <c r="F10" s="43" t="s">
        <v>262</v>
      </c>
      <c r="G10" s="43" t="s">
        <v>262</v>
      </c>
      <c r="H10" s="43" t="s">
        <v>262</v>
      </c>
      <c r="I10" s="44" t="s">
        <v>262</v>
      </c>
      <c r="J10" s="44" t="s">
        <v>262</v>
      </c>
    </row>
    <row r="11" spans="1:12" ht="15.6" x14ac:dyDescent="0.3">
      <c r="A11" s="119"/>
      <c r="B11" s="119"/>
      <c r="C11" s="119"/>
      <c r="D11" s="1" t="s">
        <v>6</v>
      </c>
      <c r="E11" s="10">
        <f ca="1">IFERROR(INDIRECT("'CO1K'!" &amp; K11 &amp; $E$42),"")</f>
        <v>17</v>
      </c>
      <c r="F11" s="10">
        <f ca="1">IFERROR(INDIRECT("'CO1K'!" &amp; K11 &amp; $F$42),"")</f>
        <v>19</v>
      </c>
      <c r="G11" s="10">
        <f ca="1">IFERROR(INDIRECT("'CO1K'!" &amp; K11 &amp; $G$42),"")</f>
        <v>64</v>
      </c>
      <c r="H11" s="10">
        <f ca="1">IFERROR(INDIRECT("'CO1K'!" &amp; L11 &amp; $H$42),"")</f>
        <v>64</v>
      </c>
      <c r="I11" s="42">
        <f ca="1">IFERROR(H11/G11*100,"")</f>
        <v>100</v>
      </c>
      <c r="J11" s="42">
        <f ca="1">IFERROR(INDIRECT("'CO1K'!" &amp; L11 &amp; $J$42)/G11*100,"")</f>
        <v>100</v>
      </c>
      <c r="K11" t="s">
        <v>263</v>
      </c>
      <c r="L11" s="58" t="s">
        <v>263</v>
      </c>
    </row>
    <row r="12" spans="1:12" ht="15.6" x14ac:dyDescent="0.3">
      <c r="A12" s="117">
        <v>2</v>
      </c>
      <c r="B12" s="130">
        <v>311303</v>
      </c>
      <c r="C12" s="133" t="s">
        <v>94</v>
      </c>
      <c r="D12" s="1" t="s">
        <v>25</v>
      </c>
      <c r="E12" s="10">
        <f t="shared" ref="E12:E14" ca="1" si="0">IFERROR(INDIRECT("'CO1K'!" &amp; K12 &amp; $E$42),"")</f>
        <v>10</v>
      </c>
      <c r="F12" s="10">
        <f t="shared" ref="F12:F14" ca="1" si="1">IFERROR(INDIRECT("'CO1K'!" &amp; K12 &amp; $F$42),"")</f>
        <v>29</v>
      </c>
      <c r="G12" s="10">
        <f t="shared" ref="G12:G14" ca="1" si="2">IFERROR(INDIRECT("'CO1K'!" &amp; K12 &amp; $G$42),"")</f>
        <v>67</v>
      </c>
      <c r="H12" s="10">
        <f t="shared" ref="H12:H14" ca="1" si="3">IFERROR(INDIRECT("'CO1K'!" &amp; L12 &amp; $H$42),"")</f>
        <v>64</v>
      </c>
      <c r="I12" s="42">
        <f t="shared" ref="I12:I14" ca="1" si="4">IFERROR(H12/G12*100,"")</f>
        <v>95.522388059701484</v>
      </c>
      <c r="J12" s="42">
        <f t="shared" ref="J12:J14" ca="1" si="5">IFERROR(INDIRECT("'CO1K'!" &amp; L12 &amp; $J$42)/G12*100,"")</f>
        <v>77.611940298507463</v>
      </c>
      <c r="K12" t="s">
        <v>264</v>
      </c>
      <c r="L12" t="s">
        <v>7</v>
      </c>
    </row>
    <row r="13" spans="1:12" ht="15.6" x14ac:dyDescent="0.3">
      <c r="A13" s="118"/>
      <c r="B13" s="131"/>
      <c r="C13" s="134"/>
      <c r="D13" s="1" t="s">
        <v>24</v>
      </c>
      <c r="E13" s="10">
        <f t="shared" ca="1" si="0"/>
        <v>23</v>
      </c>
      <c r="F13" s="10">
        <f t="shared" ca="1" si="1"/>
        <v>55</v>
      </c>
      <c r="G13" s="10">
        <f t="shared" ca="1" si="2"/>
        <v>65</v>
      </c>
      <c r="H13" s="10">
        <f t="shared" ca="1" si="3"/>
        <v>64</v>
      </c>
      <c r="I13" s="42">
        <f t="shared" ca="1" si="4"/>
        <v>98.461538461538467</v>
      </c>
      <c r="J13" s="42">
        <f t="shared" ca="1" si="5"/>
        <v>80</v>
      </c>
      <c r="K13" t="s">
        <v>265</v>
      </c>
      <c r="L13" t="s">
        <v>7</v>
      </c>
    </row>
    <row r="14" spans="1:12" ht="15.6" x14ac:dyDescent="0.3">
      <c r="A14" s="118"/>
      <c r="B14" s="131"/>
      <c r="C14" s="134"/>
      <c r="D14" s="1" t="s">
        <v>28</v>
      </c>
      <c r="E14" s="10">
        <f t="shared" ca="1" si="0"/>
        <v>0</v>
      </c>
      <c r="F14" s="10">
        <f t="shared" ca="1" si="1"/>
        <v>23</v>
      </c>
      <c r="G14" s="10">
        <f t="shared" ca="1" si="2"/>
        <v>67</v>
      </c>
      <c r="H14" s="10">
        <f t="shared" ca="1" si="3"/>
        <v>65</v>
      </c>
      <c r="I14" s="42">
        <f t="shared" ca="1" si="4"/>
        <v>97.014925373134332</v>
      </c>
      <c r="J14" s="42">
        <f t="shared" ca="1" si="5"/>
        <v>97.014925373134332</v>
      </c>
      <c r="K14" t="s">
        <v>266</v>
      </c>
      <c r="L14" s="58" t="s">
        <v>266</v>
      </c>
    </row>
    <row r="15" spans="1:12" ht="15.6" x14ac:dyDescent="0.3">
      <c r="A15" s="118"/>
      <c r="B15" s="131"/>
      <c r="C15" s="134"/>
      <c r="D15" s="1" t="s">
        <v>27</v>
      </c>
      <c r="E15" s="43" t="s">
        <v>262</v>
      </c>
      <c r="F15" s="43" t="s">
        <v>262</v>
      </c>
      <c r="G15" s="43" t="s">
        <v>262</v>
      </c>
      <c r="H15" s="43" t="s">
        <v>262</v>
      </c>
      <c r="I15" s="44" t="s">
        <v>262</v>
      </c>
      <c r="J15" s="44" t="s">
        <v>262</v>
      </c>
    </row>
    <row r="16" spans="1:12" ht="15.6" x14ac:dyDescent="0.3">
      <c r="A16" s="119"/>
      <c r="B16" s="132"/>
      <c r="C16" s="135"/>
      <c r="D16" s="1" t="s">
        <v>6</v>
      </c>
      <c r="E16" s="10">
        <f t="shared" ref="E16:E21" ca="1" si="6">IFERROR(INDIRECT("'CO1K'!" &amp; K16 &amp; $E$42),"")</f>
        <v>0</v>
      </c>
      <c r="F16" s="10">
        <f t="shared" ref="F16:F21" ca="1" si="7">IFERROR(INDIRECT("'CO1K'!" &amp; K16 &amp; $F$42),"")</f>
        <v>23</v>
      </c>
      <c r="G16" s="10">
        <f t="shared" ref="G16:G21" ca="1" si="8">IFERROR(INDIRECT("'CO1K'!" &amp; K16 &amp; $G$42),"")</f>
        <v>67</v>
      </c>
      <c r="H16" s="10">
        <f t="shared" ref="H16:H21" ca="1" si="9">IFERROR(INDIRECT("'CO1K'!" &amp; L16 &amp; $H$42),"")</f>
        <v>65</v>
      </c>
      <c r="I16" s="42">
        <f t="shared" ref="I16:I21" ca="1" si="10">IFERROR(H16/G16*100,"")</f>
        <v>97.014925373134332</v>
      </c>
      <c r="J16" s="42">
        <f t="shared" ref="J16:J21" ca="1" si="11">IFERROR(INDIRECT("'CO1K'!" &amp; L16 &amp; $J$42)/G16*100,"")</f>
        <v>97.014925373134332</v>
      </c>
      <c r="K16" t="s">
        <v>267</v>
      </c>
      <c r="L16" s="58" t="s">
        <v>267</v>
      </c>
    </row>
    <row r="17" spans="1:12" ht="15.6" x14ac:dyDescent="0.3">
      <c r="A17" s="117">
        <v>3</v>
      </c>
      <c r="B17" s="117">
        <v>311305</v>
      </c>
      <c r="C17" s="117" t="s">
        <v>93</v>
      </c>
      <c r="D17" s="1" t="s">
        <v>25</v>
      </c>
      <c r="E17" s="10">
        <f t="shared" ca="1" si="6"/>
        <v>10</v>
      </c>
      <c r="F17" s="10">
        <f t="shared" ca="1" si="7"/>
        <v>30</v>
      </c>
      <c r="G17" s="10">
        <f t="shared" ca="1" si="8"/>
        <v>63</v>
      </c>
      <c r="H17" s="10">
        <f t="shared" ca="1" si="9"/>
        <v>58</v>
      </c>
      <c r="I17" s="42">
        <f t="shared" ca="1" si="10"/>
        <v>92.063492063492063</v>
      </c>
      <c r="J17" s="42">
        <f t="shared" ca="1" si="11"/>
        <v>22.222222222222221</v>
      </c>
      <c r="K17" t="s">
        <v>268</v>
      </c>
      <c r="L17" t="s">
        <v>269</v>
      </c>
    </row>
    <row r="18" spans="1:12" ht="15.6" x14ac:dyDescent="0.3">
      <c r="A18" s="118"/>
      <c r="B18" s="118"/>
      <c r="C18" s="118"/>
      <c r="D18" s="1" t="s">
        <v>24</v>
      </c>
      <c r="E18" s="10">
        <f t="shared" ca="1" si="6"/>
        <v>14</v>
      </c>
      <c r="F18" s="10">
        <f t="shared" ca="1" si="7"/>
        <v>40</v>
      </c>
      <c r="G18" s="10">
        <f t="shared" ca="1" si="8"/>
        <v>62</v>
      </c>
      <c r="H18" s="10">
        <f t="shared" ca="1" si="9"/>
        <v>58</v>
      </c>
      <c r="I18" s="42">
        <f t="shared" ca="1" si="10"/>
        <v>93.548387096774192</v>
      </c>
      <c r="J18" s="42">
        <f t="shared" ca="1" si="11"/>
        <v>22.58064516129032</v>
      </c>
      <c r="K18" t="s">
        <v>270</v>
      </c>
      <c r="L18" t="s">
        <v>269</v>
      </c>
    </row>
    <row r="19" spans="1:12" ht="15.6" x14ac:dyDescent="0.3">
      <c r="A19" s="118"/>
      <c r="B19" s="118"/>
      <c r="C19" s="118"/>
      <c r="D19" s="1" t="s">
        <v>28</v>
      </c>
      <c r="E19" s="10">
        <f t="shared" ca="1" si="6"/>
        <v>34</v>
      </c>
      <c r="F19" s="10">
        <f t="shared" ca="1" si="7"/>
        <v>48</v>
      </c>
      <c r="G19" s="10">
        <f t="shared" ca="1" si="8"/>
        <v>62</v>
      </c>
      <c r="H19" s="10">
        <f t="shared" ca="1" si="9"/>
        <v>62</v>
      </c>
      <c r="I19" s="42">
        <f t="shared" ca="1" si="10"/>
        <v>100</v>
      </c>
      <c r="J19" s="42">
        <f t="shared" ca="1" si="11"/>
        <v>100</v>
      </c>
      <c r="K19" t="s">
        <v>271</v>
      </c>
      <c r="L19" s="58" t="s">
        <v>271</v>
      </c>
    </row>
    <row r="20" spans="1:12" ht="15.6" x14ac:dyDescent="0.3">
      <c r="A20" s="118"/>
      <c r="B20" s="118"/>
      <c r="C20" s="118"/>
      <c r="D20" s="1" t="s">
        <v>27</v>
      </c>
      <c r="E20" s="10">
        <f t="shared" ca="1" si="6"/>
        <v>34</v>
      </c>
      <c r="F20" s="10">
        <f t="shared" ca="1" si="7"/>
        <v>46</v>
      </c>
      <c r="G20" s="10">
        <f t="shared" ca="1" si="8"/>
        <v>62</v>
      </c>
      <c r="H20" s="10">
        <f t="shared" ca="1" si="9"/>
        <v>62</v>
      </c>
      <c r="I20" s="42">
        <f t="shared" ca="1" si="10"/>
        <v>100</v>
      </c>
      <c r="J20" s="42">
        <f t="shared" ca="1" si="11"/>
        <v>100</v>
      </c>
      <c r="K20" t="s">
        <v>272</v>
      </c>
      <c r="L20" s="58" t="s">
        <v>272</v>
      </c>
    </row>
    <row r="21" spans="1:12" ht="15.6" x14ac:dyDescent="0.3">
      <c r="A21" s="119"/>
      <c r="B21" s="119"/>
      <c r="C21" s="119"/>
      <c r="D21" s="1" t="s">
        <v>6</v>
      </c>
      <c r="E21" s="10">
        <f t="shared" ca="1" si="6"/>
        <v>27</v>
      </c>
      <c r="F21" s="10">
        <f t="shared" ca="1" si="7"/>
        <v>44</v>
      </c>
      <c r="G21" s="10">
        <f t="shared" ca="1" si="8"/>
        <v>64</v>
      </c>
      <c r="H21" s="10">
        <f t="shared" ca="1" si="9"/>
        <v>64</v>
      </c>
      <c r="I21" s="42">
        <f t="shared" ca="1" si="10"/>
        <v>100</v>
      </c>
      <c r="J21" s="42">
        <f t="shared" ca="1" si="11"/>
        <v>98.4375</v>
      </c>
      <c r="K21" t="s">
        <v>273</v>
      </c>
      <c r="L21" s="58" t="s">
        <v>273</v>
      </c>
    </row>
    <row r="22" spans="1:12" ht="15.6" x14ac:dyDescent="0.3">
      <c r="A22" s="117">
        <v>4</v>
      </c>
      <c r="B22" s="117">
        <v>311001</v>
      </c>
      <c r="C22" s="117" t="s">
        <v>97</v>
      </c>
      <c r="D22" s="1" t="s">
        <v>25</v>
      </c>
      <c r="E22" s="43" t="s">
        <v>262</v>
      </c>
      <c r="F22" s="43" t="s">
        <v>262</v>
      </c>
      <c r="G22" s="43" t="s">
        <v>262</v>
      </c>
      <c r="H22" s="43" t="s">
        <v>262</v>
      </c>
      <c r="I22" s="44" t="s">
        <v>262</v>
      </c>
      <c r="J22" s="44" t="s">
        <v>262</v>
      </c>
    </row>
    <row r="23" spans="1:12" ht="15.6" x14ac:dyDescent="0.3">
      <c r="A23" s="118"/>
      <c r="B23" s="118"/>
      <c r="C23" s="118"/>
      <c r="D23" s="1" t="s">
        <v>24</v>
      </c>
      <c r="E23" s="43" t="s">
        <v>262</v>
      </c>
      <c r="F23" s="43" t="s">
        <v>262</v>
      </c>
      <c r="G23" s="43" t="s">
        <v>262</v>
      </c>
      <c r="H23" s="43" t="s">
        <v>262</v>
      </c>
      <c r="I23" s="44" t="s">
        <v>262</v>
      </c>
      <c r="J23" s="44" t="s">
        <v>262</v>
      </c>
    </row>
    <row r="24" spans="1:12" ht="15.6" x14ac:dyDescent="0.3">
      <c r="A24" s="118"/>
      <c r="B24" s="118"/>
      <c r="C24" s="118"/>
      <c r="D24" s="1" t="s">
        <v>28</v>
      </c>
      <c r="E24" s="10">
        <f t="shared" ref="E24:E26" ca="1" si="12">IFERROR(INDIRECT("'CO1K'!" &amp; K24 &amp; $E$42),"")</f>
        <v>19</v>
      </c>
      <c r="F24" s="10">
        <f t="shared" ref="F24:F26" ca="1" si="13">IFERROR(INDIRECT("'CO1K'!" &amp; K24 &amp; $F$42),"")</f>
        <v>23</v>
      </c>
      <c r="G24" s="10">
        <f t="shared" ref="G24:G26" ca="1" si="14">IFERROR(INDIRECT("'CO1K'!" &amp; K24 &amp; $G$42),"")</f>
        <v>60</v>
      </c>
      <c r="H24" s="10">
        <f t="shared" ref="H24:H26" ca="1" si="15">IFERROR(INDIRECT("'CO1K'!" &amp; L24 &amp; $H$42),"")</f>
        <v>60</v>
      </c>
      <c r="I24" s="42">
        <f t="shared" ref="I24:I26" ca="1" si="16">IFERROR(H24/G24*100,"")</f>
        <v>100</v>
      </c>
      <c r="J24" s="42">
        <f t="shared" ref="J24:J26" ca="1" si="17">IFERROR(INDIRECT("'CO1K'!" &amp; L24 &amp; $J$42)/G24*100,"")</f>
        <v>100</v>
      </c>
      <c r="K24" t="s">
        <v>106</v>
      </c>
      <c r="L24" s="58" t="s">
        <v>106</v>
      </c>
    </row>
    <row r="25" spans="1:12" ht="15.6" x14ac:dyDescent="0.3">
      <c r="A25" s="118"/>
      <c r="B25" s="118"/>
      <c r="C25" s="118"/>
      <c r="D25" s="1" t="s">
        <v>27</v>
      </c>
      <c r="E25" s="10">
        <f t="shared" ca="1" si="12"/>
        <v>18</v>
      </c>
      <c r="F25" s="10">
        <f t="shared" ca="1" si="13"/>
        <v>23</v>
      </c>
      <c r="G25" s="10">
        <f t="shared" ca="1" si="14"/>
        <v>60</v>
      </c>
      <c r="H25" s="10">
        <f t="shared" ca="1" si="15"/>
        <v>60</v>
      </c>
      <c r="I25" s="42">
        <f t="shared" ca="1" si="16"/>
        <v>100</v>
      </c>
      <c r="J25" s="42">
        <f t="shared" ca="1" si="17"/>
        <v>100</v>
      </c>
      <c r="K25" t="s">
        <v>274</v>
      </c>
      <c r="L25" s="58" t="s">
        <v>274</v>
      </c>
    </row>
    <row r="26" spans="1:12" ht="15.6" x14ac:dyDescent="0.3">
      <c r="A26" s="119"/>
      <c r="B26" s="119"/>
      <c r="C26" s="119"/>
      <c r="D26" s="1" t="s">
        <v>6</v>
      </c>
      <c r="E26" s="10">
        <f t="shared" ca="1" si="12"/>
        <v>20</v>
      </c>
      <c r="F26" s="10">
        <f t="shared" ca="1" si="13"/>
        <v>23</v>
      </c>
      <c r="G26" s="10">
        <f t="shared" ca="1" si="14"/>
        <v>60</v>
      </c>
      <c r="H26" s="10">
        <f t="shared" ca="1" si="15"/>
        <v>60</v>
      </c>
      <c r="I26" s="42">
        <f t="shared" ca="1" si="16"/>
        <v>100</v>
      </c>
      <c r="J26" s="42">
        <f t="shared" ca="1" si="17"/>
        <v>100</v>
      </c>
      <c r="K26" t="s">
        <v>275</v>
      </c>
      <c r="L26" s="58" t="s">
        <v>275</v>
      </c>
    </row>
    <row r="27" spans="1:12" ht="15.6" x14ac:dyDescent="0.3">
      <c r="A27" s="117">
        <v>5</v>
      </c>
      <c r="B27" s="117">
        <v>311002</v>
      </c>
      <c r="C27" s="117" t="s">
        <v>96</v>
      </c>
      <c r="D27" s="1" t="s">
        <v>25</v>
      </c>
      <c r="E27" s="43" t="s">
        <v>262</v>
      </c>
      <c r="F27" s="43" t="s">
        <v>262</v>
      </c>
      <c r="G27" s="43" t="s">
        <v>262</v>
      </c>
      <c r="H27" s="43" t="s">
        <v>262</v>
      </c>
      <c r="I27" s="44" t="s">
        <v>262</v>
      </c>
      <c r="J27" s="44" t="s">
        <v>262</v>
      </c>
    </row>
    <row r="28" spans="1:12" ht="15.6" x14ac:dyDescent="0.3">
      <c r="A28" s="118"/>
      <c r="B28" s="118"/>
      <c r="C28" s="118"/>
      <c r="D28" s="1" t="s">
        <v>24</v>
      </c>
      <c r="E28" s="43" t="s">
        <v>262</v>
      </c>
      <c r="F28" s="43" t="s">
        <v>262</v>
      </c>
      <c r="G28" s="43" t="s">
        <v>262</v>
      </c>
      <c r="H28" s="43" t="s">
        <v>262</v>
      </c>
      <c r="I28" s="44" t="s">
        <v>262</v>
      </c>
      <c r="J28" s="44" t="s">
        <v>262</v>
      </c>
    </row>
    <row r="29" spans="1:12" ht="15.6" x14ac:dyDescent="0.3">
      <c r="A29" s="118"/>
      <c r="B29" s="118"/>
      <c r="C29" s="118"/>
      <c r="D29" s="1" t="s">
        <v>28</v>
      </c>
      <c r="E29" s="10">
        <f t="shared" ref="E29:E30" ca="1" si="18">IFERROR(INDIRECT("'CO1K'!" &amp; K29 &amp; $E$42),"")</f>
        <v>36</v>
      </c>
      <c r="F29" s="10">
        <f t="shared" ref="F29:F30" ca="1" si="19">IFERROR(INDIRECT("'CO1K'!" &amp; K29 &amp; $F$42),"")</f>
        <v>46</v>
      </c>
      <c r="G29" s="10">
        <f t="shared" ref="G29:G30" ca="1" si="20">IFERROR(INDIRECT("'CO1K'!" &amp; K29 &amp; $G$42),"")</f>
        <v>65</v>
      </c>
      <c r="H29" s="10">
        <f t="shared" ref="H29:H30" ca="1" si="21">IFERROR(INDIRECT("'CO1K'!" &amp; L29 &amp; $H$42),"")</f>
        <v>65</v>
      </c>
      <c r="I29" s="42">
        <f t="shared" ref="I29:I30" ca="1" si="22">IFERROR(H29/G29*100,"")</f>
        <v>100</v>
      </c>
      <c r="J29" s="42">
        <f t="shared" ref="J29:J30" ca="1" si="23">IFERROR(INDIRECT("'CO1K'!" &amp; L29 &amp; $J$42)/G29*100,"")</f>
        <v>100</v>
      </c>
      <c r="K29" t="s">
        <v>8</v>
      </c>
      <c r="L29" s="58" t="s">
        <v>8</v>
      </c>
    </row>
    <row r="30" spans="1:12" ht="15.6" x14ac:dyDescent="0.3">
      <c r="A30" s="118"/>
      <c r="B30" s="118"/>
      <c r="C30" s="118"/>
      <c r="D30" s="1" t="s">
        <v>27</v>
      </c>
      <c r="E30" s="10">
        <f t="shared" ca="1" si="18"/>
        <v>30</v>
      </c>
      <c r="F30" s="10">
        <f t="shared" ca="1" si="19"/>
        <v>46</v>
      </c>
      <c r="G30" s="10">
        <f t="shared" ca="1" si="20"/>
        <v>64</v>
      </c>
      <c r="H30" s="10">
        <f t="shared" ca="1" si="21"/>
        <v>64</v>
      </c>
      <c r="I30" s="42">
        <f t="shared" ca="1" si="22"/>
        <v>100</v>
      </c>
      <c r="J30" s="42">
        <f t="shared" ca="1" si="23"/>
        <v>100</v>
      </c>
      <c r="K30" t="s">
        <v>276</v>
      </c>
      <c r="L30" s="58" t="s">
        <v>276</v>
      </c>
    </row>
    <row r="31" spans="1:12" ht="15.6" x14ac:dyDescent="0.3">
      <c r="A31" s="119"/>
      <c r="B31" s="119"/>
      <c r="C31" s="119"/>
      <c r="D31" s="1" t="s">
        <v>6</v>
      </c>
      <c r="E31" s="43" t="s">
        <v>262</v>
      </c>
      <c r="F31" s="43" t="s">
        <v>262</v>
      </c>
      <c r="G31" s="43" t="s">
        <v>262</v>
      </c>
      <c r="H31" s="43" t="s">
        <v>262</v>
      </c>
      <c r="I31" s="44" t="s">
        <v>262</v>
      </c>
      <c r="J31" s="44" t="s">
        <v>262</v>
      </c>
    </row>
    <row r="32" spans="1:12" ht="15.6" x14ac:dyDescent="0.3">
      <c r="A32" s="117">
        <v>6</v>
      </c>
      <c r="B32" s="117">
        <v>311003</v>
      </c>
      <c r="C32" s="117" t="s">
        <v>98</v>
      </c>
      <c r="D32" s="1" t="s">
        <v>25</v>
      </c>
      <c r="E32" s="43" t="s">
        <v>262</v>
      </c>
      <c r="F32" s="43" t="s">
        <v>262</v>
      </c>
      <c r="G32" s="43" t="s">
        <v>262</v>
      </c>
      <c r="H32" s="43" t="s">
        <v>262</v>
      </c>
      <c r="I32" s="44" t="s">
        <v>262</v>
      </c>
      <c r="J32" s="44" t="s">
        <v>262</v>
      </c>
    </row>
    <row r="33" spans="1:12" ht="15.6" x14ac:dyDescent="0.3">
      <c r="A33" s="118"/>
      <c r="B33" s="118"/>
      <c r="C33" s="118"/>
      <c r="D33" s="1" t="s">
        <v>24</v>
      </c>
      <c r="E33" s="43" t="s">
        <v>262</v>
      </c>
      <c r="F33" s="43" t="s">
        <v>262</v>
      </c>
      <c r="G33" s="43" t="s">
        <v>262</v>
      </c>
      <c r="H33" s="43" t="s">
        <v>262</v>
      </c>
      <c r="I33" s="44" t="s">
        <v>262</v>
      </c>
      <c r="J33" s="44" t="s">
        <v>262</v>
      </c>
    </row>
    <row r="34" spans="1:12" ht="15.6" x14ac:dyDescent="0.3">
      <c r="A34" s="118"/>
      <c r="B34" s="118"/>
      <c r="C34" s="118"/>
      <c r="D34" s="1" t="s">
        <v>28</v>
      </c>
      <c r="E34" s="10">
        <f ca="1">IFERROR(INDIRECT("'CO1K'!" &amp; K34 &amp; $E$42),"")</f>
        <v>17</v>
      </c>
      <c r="F34" s="10">
        <f ca="1">IFERROR(INDIRECT("'CO1K'!" &amp; K34 &amp; $F$42),"")</f>
        <v>20</v>
      </c>
      <c r="G34" s="10">
        <f ca="1">IFERROR(INDIRECT("'CO1K'!" &amp; K34 &amp; $G$42),"")</f>
        <v>65</v>
      </c>
      <c r="H34" s="10">
        <f ca="1">IFERROR(INDIRECT("'CO1K'!" &amp; L34 &amp; $H$42),"")</f>
        <v>65</v>
      </c>
      <c r="I34" s="42">
        <f ca="1">IFERROR(H34/G34*100,"")</f>
        <v>100</v>
      </c>
      <c r="J34" s="42">
        <f ca="1">IFERROR(INDIRECT("'CO1K'!" &amp; L34 &amp; $J$42)/G34*100,"")</f>
        <v>100</v>
      </c>
      <c r="K34" t="s">
        <v>277</v>
      </c>
      <c r="L34" s="58" t="s">
        <v>277</v>
      </c>
    </row>
    <row r="35" spans="1:12" ht="15.6" x14ac:dyDescent="0.3">
      <c r="A35" s="118"/>
      <c r="B35" s="118"/>
      <c r="C35" s="118"/>
      <c r="D35" s="1" t="s">
        <v>27</v>
      </c>
      <c r="E35" s="43" t="s">
        <v>262</v>
      </c>
      <c r="F35" s="43" t="s">
        <v>262</v>
      </c>
      <c r="G35" s="43" t="s">
        <v>262</v>
      </c>
      <c r="H35" s="43" t="s">
        <v>262</v>
      </c>
      <c r="I35" s="44" t="s">
        <v>262</v>
      </c>
      <c r="J35" s="44" t="s">
        <v>262</v>
      </c>
    </row>
    <row r="36" spans="1:12" ht="15.6" x14ac:dyDescent="0.3">
      <c r="A36" s="119"/>
      <c r="B36" s="119"/>
      <c r="C36" s="119"/>
      <c r="D36" s="1" t="s">
        <v>6</v>
      </c>
      <c r="E36" s="10">
        <f ca="1">IFERROR(INDIRECT("'CO1K'!" &amp; K36 &amp; $E$42),"")</f>
        <v>16</v>
      </c>
      <c r="F36" s="10">
        <f ca="1">IFERROR(INDIRECT("'CO1K'!" &amp; K36 &amp; $F$42),"")</f>
        <v>21</v>
      </c>
      <c r="G36" s="10">
        <f ca="1">IFERROR(INDIRECT("'CO1K'!" &amp; K36 &amp; $G$42),"")</f>
        <v>65</v>
      </c>
      <c r="H36" s="10">
        <f ca="1">IFERROR(INDIRECT("'CO1K'!" &amp; L36 &amp; $H$42),"")</f>
        <v>65</v>
      </c>
      <c r="I36" s="42">
        <f ca="1">IFERROR(H36/G36*100,"")</f>
        <v>100</v>
      </c>
      <c r="J36" s="42">
        <f ca="1">IFERROR(INDIRECT("'CO1K'!" &amp; L36 &amp; $J$42)/G36*100,"")</f>
        <v>100</v>
      </c>
      <c r="K36" t="s">
        <v>278</v>
      </c>
      <c r="L36" s="58" t="s">
        <v>278</v>
      </c>
    </row>
    <row r="37" spans="1:12" ht="15.6" x14ac:dyDescent="0.3">
      <c r="A37" s="117">
        <v>7</v>
      </c>
      <c r="B37" s="117">
        <v>311008</v>
      </c>
      <c r="C37" s="117" t="s">
        <v>95</v>
      </c>
      <c r="D37" s="1" t="s">
        <v>25</v>
      </c>
      <c r="E37" s="43" t="s">
        <v>262</v>
      </c>
      <c r="F37" s="43" t="s">
        <v>262</v>
      </c>
      <c r="G37" s="43" t="s">
        <v>262</v>
      </c>
      <c r="H37" s="43" t="s">
        <v>262</v>
      </c>
      <c r="I37" s="44" t="s">
        <v>262</v>
      </c>
      <c r="J37" s="44" t="s">
        <v>262</v>
      </c>
    </row>
    <row r="38" spans="1:12" ht="15.6" x14ac:dyDescent="0.3">
      <c r="A38" s="118"/>
      <c r="B38" s="118"/>
      <c r="C38" s="118"/>
      <c r="D38" s="1" t="s">
        <v>24</v>
      </c>
      <c r="E38" s="43" t="s">
        <v>262</v>
      </c>
      <c r="F38" s="43" t="s">
        <v>262</v>
      </c>
      <c r="G38" s="43" t="s">
        <v>262</v>
      </c>
      <c r="H38" s="43" t="s">
        <v>262</v>
      </c>
      <c r="I38" s="44" t="s">
        <v>262</v>
      </c>
      <c r="J38" s="44" t="s">
        <v>262</v>
      </c>
    </row>
    <row r="39" spans="1:12" ht="15.6" x14ac:dyDescent="0.3">
      <c r="A39" s="118"/>
      <c r="B39" s="118"/>
      <c r="C39" s="118"/>
      <c r="D39" s="1" t="s">
        <v>28</v>
      </c>
      <c r="E39" s="10">
        <f t="shared" ref="E39:E40" ca="1" si="24">IFERROR(INDIRECT("'CO1K'!" &amp; K39 &amp; $E$42),"")</f>
        <v>31</v>
      </c>
      <c r="F39" s="10">
        <f t="shared" ref="F39:F40" ca="1" si="25">IFERROR(INDIRECT("'CO1K'!" &amp; K39 &amp; $F$42),"")</f>
        <v>46</v>
      </c>
      <c r="G39" s="10">
        <f t="shared" ref="G39:G40" ca="1" si="26">IFERROR(INDIRECT("'CO1K'!" &amp; K39 &amp; $G$42),"")</f>
        <v>65</v>
      </c>
      <c r="H39" s="10">
        <f t="shared" ref="H39:H40" ca="1" si="27">IFERROR(INDIRECT("'CO1K'!" &amp; L39 &amp; $H$42),"")</f>
        <v>65</v>
      </c>
      <c r="I39" s="42">
        <f t="shared" ref="I39:I40" ca="1" si="28">IFERROR(H39/G39*100,"")</f>
        <v>100</v>
      </c>
      <c r="J39" s="42">
        <f t="shared" ref="J39:J40" ca="1" si="29">IFERROR(INDIRECT("'CO1K'!" &amp; L39 &amp; $J$42)/G39*100,"")</f>
        <v>100</v>
      </c>
      <c r="K39" t="s">
        <v>279</v>
      </c>
      <c r="L39" s="58" t="s">
        <v>279</v>
      </c>
    </row>
    <row r="40" spans="1:12" ht="15.6" x14ac:dyDescent="0.3">
      <c r="A40" s="118"/>
      <c r="B40" s="118"/>
      <c r="C40" s="118"/>
      <c r="D40" s="1" t="s">
        <v>27</v>
      </c>
      <c r="E40" s="10">
        <f t="shared" ca="1" si="24"/>
        <v>3</v>
      </c>
      <c r="F40" s="10">
        <f t="shared" ca="1" si="25"/>
        <v>44</v>
      </c>
      <c r="G40" s="10">
        <f t="shared" ca="1" si="26"/>
        <v>64</v>
      </c>
      <c r="H40" s="10">
        <f t="shared" ca="1" si="27"/>
        <v>58</v>
      </c>
      <c r="I40" s="42">
        <f t="shared" ca="1" si="28"/>
        <v>90.625</v>
      </c>
      <c r="J40" s="42">
        <f t="shared" ca="1" si="29"/>
        <v>31.25</v>
      </c>
      <c r="K40" t="s">
        <v>280</v>
      </c>
      <c r="L40" s="58" t="s">
        <v>280</v>
      </c>
    </row>
    <row r="41" spans="1:12" ht="15.6" x14ac:dyDescent="0.3">
      <c r="A41" s="119"/>
      <c r="B41" s="119"/>
      <c r="C41" s="119"/>
      <c r="D41" s="1" t="s">
        <v>6</v>
      </c>
      <c r="E41" s="43" t="s">
        <v>262</v>
      </c>
      <c r="F41" s="43" t="s">
        <v>262</v>
      </c>
      <c r="G41" s="43" t="s">
        <v>262</v>
      </c>
      <c r="H41" s="43" t="s">
        <v>262</v>
      </c>
      <c r="I41" s="44" t="s">
        <v>262</v>
      </c>
      <c r="J41" s="44" t="s">
        <v>262</v>
      </c>
    </row>
    <row r="42" spans="1:12" x14ac:dyDescent="0.3">
      <c r="E42" s="37">
        <v>80</v>
      </c>
      <c r="F42" s="37">
        <v>81</v>
      </c>
      <c r="G42" s="37">
        <v>82</v>
      </c>
      <c r="H42" s="37">
        <v>83</v>
      </c>
      <c r="I42" s="37"/>
      <c r="J42" s="37">
        <v>84</v>
      </c>
    </row>
    <row r="43" spans="1:12" ht="15.6" x14ac:dyDescent="0.3">
      <c r="A43" s="115" t="s">
        <v>281</v>
      </c>
      <c r="B43" s="115"/>
      <c r="C43" s="115"/>
      <c r="D43" s="115"/>
      <c r="E43" s="115"/>
      <c r="F43" s="37"/>
      <c r="G43" s="116" t="s">
        <v>282</v>
      </c>
      <c r="H43" s="116"/>
      <c r="I43" s="116"/>
      <c r="J43" s="116"/>
    </row>
    <row r="44" spans="1:12" ht="15.6" x14ac:dyDescent="0.3">
      <c r="A44" s="115" t="s">
        <v>283</v>
      </c>
      <c r="B44" s="115"/>
      <c r="C44" s="115"/>
      <c r="D44" s="115"/>
      <c r="E44" s="115"/>
      <c r="F44" s="37"/>
      <c r="G44" s="116" t="s">
        <v>284</v>
      </c>
      <c r="H44" s="116"/>
      <c r="I44" s="116"/>
      <c r="J44" s="116"/>
    </row>
    <row r="45" spans="1:12" ht="15.6" x14ac:dyDescent="0.3">
      <c r="A45" s="4"/>
      <c r="B45" s="4"/>
      <c r="C45" s="4"/>
      <c r="D45" s="4"/>
      <c r="E45" s="4"/>
      <c r="F45" s="37"/>
      <c r="G45" s="38"/>
      <c r="H45" s="38"/>
      <c r="I45" s="38"/>
      <c r="J45" s="38"/>
    </row>
    <row r="46" spans="1:12" ht="18" x14ac:dyDescent="0.35">
      <c r="A46" s="128" t="s">
        <v>246</v>
      </c>
      <c r="B46" s="128"/>
      <c r="C46" s="128"/>
      <c r="D46" s="128"/>
      <c r="E46" s="128"/>
      <c r="F46" s="128"/>
      <c r="G46" s="128"/>
      <c r="H46" s="128"/>
      <c r="I46" s="128"/>
      <c r="J46" s="36" t="s">
        <v>247</v>
      </c>
    </row>
    <row r="47" spans="1:12" ht="18" x14ac:dyDescent="0.35">
      <c r="A47" s="128" t="s">
        <v>248</v>
      </c>
      <c r="B47" s="128"/>
      <c r="C47" s="128"/>
      <c r="D47" s="128"/>
      <c r="E47" s="128"/>
      <c r="F47" s="128"/>
      <c r="G47" s="128"/>
      <c r="H47" s="128"/>
      <c r="I47" s="128"/>
      <c r="J47" s="37"/>
    </row>
    <row r="48" spans="1:12" ht="18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37"/>
    </row>
    <row r="49" spans="1:12" ht="18" x14ac:dyDescent="0.35">
      <c r="A49" s="123" t="s">
        <v>249</v>
      </c>
      <c r="B49" s="123"/>
      <c r="C49" s="123"/>
      <c r="D49" s="124" t="s">
        <v>250</v>
      </c>
      <c r="E49" s="124"/>
      <c r="F49" s="124"/>
      <c r="G49" s="124"/>
      <c r="H49" s="124"/>
      <c r="I49" s="124"/>
      <c r="J49" s="37"/>
    </row>
    <row r="50" spans="1:12" x14ac:dyDescent="0.3">
      <c r="A50" s="125" t="s">
        <v>251</v>
      </c>
      <c r="B50" s="125"/>
      <c r="C50" s="125"/>
      <c r="D50" s="125"/>
      <c r="E50" s="126" t="s">
        <v>252</v>
      </c>
      <c r="F50" s="126"/>
      <c r="G50" s="126"/>
      <c r="H50" s="38"/>
      <c r="I50" s="38"/>
      <c r="J50" s="37"/>
    </row>
    <row r="51" spans="1:12" x14ac:dyDescent="0.3">
      <c r="A51" s="46"/>
      <c r="B51" s="46"/>
      <c r="C51" s="46"/>
      <c r="D51" s="46"/>
      <c r="E51" s="47"/>
      <c r="F51" s="47"/>
      <c r="G51" s="47"/>
      <c r="H51" s="38"/>
      <c r="I51" s="38"/>
      <c r="J51" s="37"/>
    </row>
    <row r="52" spans="1:12" x14ac:dyDescent="0.3">
      <c r="E52" s="126" t="s">
        <v>285</v>
      </c>
      <c r="F52" s="126"/>
      <c r="G52" s="38" t="s">
        <v>254</v>
      </c>
      <c r="H52" s="127" t="s">
        <v>255</v>
      </c>
      <c r="I52" s="127"/>
      <c r="J52" s="37"/>
    </row>
    <row r="53" spans="1:12" x14ac:dyDescent="0.3">
      <c r="E53" s="47"/>
      <c r="F53" s="47"/>
      <c r="G53" s="38"/>
      <c r="H53" s="48"/>
      <c r="I53" s="48"/>
      <c r="J53" s="37"/>
    </row>
    <row r="54" spans="1:12" ht="43.2" x14ac:dyDescent="0.3">
      <c r="A54" s="39" t="s">
        <v>256</v>
      </c>
      <c r="B54" s="39" t="s">
        <v>257</v>
      </c>
      <c r="C54" s="39" t="s">
        <v>258</v>
      </c>
      <c r="D54" s="39" t="s">
        <v>23</v>
      </c>
      <c r="E54" s="40" t="s">
        <v>9</v>
      </c>
      <c r="F54" s="40" t="s">
        <v>10</v>
      </c>
      <c r="G54" s="40" t="s">
        <v>11</v>
      </c>
      <c r="H54" s="40" t="s">
        <v>12</v>
      </c>
      <c r="I54" s="40" t="s">
        <v>13</v>
      </c>
      <c r="J54" s="41" t="s">
        <v>14</v>
      </c>
    </row>
    <row r="55" spans="1:12" ht="15.6" x14ac:dyDescent="0.3">
      <c r="A55" s="117">
        <v>1</v>
      </c>
      <c r="B55" s="117">
        <v>313301</v>
      </c>
      <c r="C55" s="117" t="s">
        <v>0</v>
      </c>
      <c r="D55" s="1" t="s">
        <v>25</v>
      </c>
      <c r="E55" s="10">
        <f ca="1">IFERROR(INDIRECT("'CO3K'!" &amp; K55 &amp; $E$85),"")</f>
        <v>2</v>
      </c>
      <c r="F55" s="10">
        <f ca="1">IFERROR(INDIRECT("'CO3K'!" &amp; K55 &amp; $F$85),"")</f>
        <v>30</v>
      </c>
      <c r="G55" s="10">
        <f ca="1">IFERROR(INDIRECT("'CO3K'!" &amp; K55 &amp; $G$85),"")</f>
        <v>67</v>
      </c>
      <c r="H55" s="10">
        <f ca="1">IFERROR(INDIRECT("'CO3K'!" &amp; L55 &amp; $H$85),"")</f>
        <v>47</v>
      </c>
      <c r="I55" s="42">
        <f ca="1">IFERROR(H55/G55*100,"")</f>
        <v>70.149253731343293</v>
      </c>
      <c r="J55" s="42">
        <f ca="1">IFERROR(INDIRECT("'CO3K'!" &amp; L55 &amp; $J$85)/G55*100,"")</f>
        <v>68.656716417910445</v>
      </c>
      <c r="K55" t="s">
        <v>259</v>
      </c>
      <c r="L55" t="s">
        <v>260</v>
      </c>
    </row>
    <row r="56" spans="1:12" ht="15.6" x14ac:dyDescent="0.3">
      <c r="A56" s="118"/>
      <c r="B56" s="118"/>
      <c r="C56" s="118"/>
      <c r="D56" s="1" t="s">
        <v>24</v>
      </c>
      <c r="E56" s="10">
        <f t="shared" ref="E56:E57" ca="1" si="30">IFERROR(INDIRECT("'CO3K'!" &amp; K56 &amp; $E$85),"")</f>
        <v>9</v>
      </c>
      <c r="F56" s="10">
        <f t="shared" ref="F56:F57" ca="1" si="31">IFERROR(INDIRECT("'CO3K'!" &amp; K56 &amp; $F$85),"")</f>
        <v>68</v>
      </c>
      <c r="G56" s="10">
        <f t="shared" ref="G56:G57" ca="1" si="32">IFERROR(INDIRECT("'CO3K'!" &amp; K56 &amp; $G$85),"")</f>
        <v>67</v>
      </c>
      <c r="H56" s="10">
        <f t="shared" ref="H56:H57" ca="1" si="33">IFERROR(INDIRECT("'CO3K'!" &amp; L56 &amp; $H$85),"")</f>
        <v>47</v>
      </c>
      <c r="I56" s="42">
        <f t="shared" ref="I56:I57" ca="1" si="34">IFERROR(H56/G56*100,"")</f>
        <v>70.149253731343293</v>
      </c>
      <c r="J56" s="42">
        <f t="shared" ref="J56:J57" ca="1" si="35">IFERROR(INDIRECT("'CO3K'!" &amp; L56 &amp; $J$85)/G56*100,"")</f>
        <v>68.656716417910445</v>
      </c>
      <c r="K56" t="s">
        <v>261</v>
      </c>
      <c r="L56" t="s">
        <v>260</v>
      </c>
    </row>
    <row r="57" spans="1:12" ht="15.6" x14ac:dyDescent="0.3">
      <c r="A57" s="118"/>
      <c r="B57" s="118"/>
      <c r="C57" s="118"/>
      <c r="D57" s="1" t="s">
        <v>28</v>
      </c>
      <c r="E57" s="10">
        <f t="shared" ca="1" si="30"/>
        <v>34</v>
      </c>
      <c r="F57" s="10">
        <f t="shared" ca="1" si="31"/>
        <v>49</v>
      </c>
      <c r="G57" s="10">
        <f t="shared" ca="1" si="32"/>
        <v>67</v>
      </c>
      <c r="H57" s="10">
        <f t="shared" ca="1" si="33"/>
        <v>67</v>
      </c>
      <c r="I57" s="42">
        <f t="shared" ca="1" si="34"/>
        <v>100</v>
      </c>
      <c r="J57" s="42">
        <f t="shared" ca="1" si="35"/>
        <v>98.507462686567166</v>
      </c>
      <c r="K57" s="58" t="s">
        <v>270</v>
      </c>
      <c r="L57" s="58" t="s">
        <v>270</v>
      </c>
    </row>
    <row r="58" spans="1:12" ht="15.6" x14ac:dyDescent="0.3">
      <c r="A58" s="118"/>
      <c r="B58" s="118"/>
      <c r="C58" s="118"/>
      <c r="D58" s="1" t="s">
        <v>27</v>
      </c>
      <c r="E58" s="10">
        <f ca="1">IFERROR(INDIRECT("'CO3K'!" &amp; K58 &amp; $E$85),"")</f>
        <v>17</v>
      </c>
      <c r="F58" s="10">
        <f ca="1">IFERROR(INDIRECT("'CO3K'!" &amp; K58 &amp; $F$85),"")</f>
        <v>24</v>
      </c>
      <c r="G58" s="10">
        <f ca="1">IFERROR(INDIRECT("'CO3K'!" &amp; K58 &amp; $G$85),"")</f>
        <v>67</v>
      </c>
      <c r="H58" s="10">
        <f ca="1">IFERROR(INDIRECT("'CO3K'!" &amp; L58 &amp; $H$85),"")</f>
        <v>67</v>
      </c>
      <c r="I58" s="42">
        <f ca="1">IFERROR(H58/G58*100,"")</f>
        <v>100</v>
      </c>
      <c r="J58" s="42">
        <f ca="1">IFERROR(INDIRECT("'CO3K'!" &amp; L58 &amp; $J$85)/G58*100,"")</f>
        <v>98.507462686567166</v>
      </c>
      <c r="K58" t="s">
        <v>263</v>
      </c>
      <c r="L58" s="58" t="s">
        <v>263</v>
      </c>
    </row>
    <row r="59" spans="1:12" ht="15.6" x14ac:dyDescent="0.3">
      <c r="A59" s="119"/>
      <c r="B59" s="119"/>
      <c r="C59" s="119"/>
      <c r="D59" s="1" t="s">
        <v>6</v>
      </c>
      <c r="E59" s="10" t="s">
        <v>262</v>
      </c>
      <c r="F59" s="10" t="s">
        <v>262</v>
      </c>
      <c r="G59" s="10" t="s">
        <v>262</v>
      </c>
      <c r="H59" s="10" t="s">
        <v>262</v>
      </c>
      <c r="I59" s="10" t="s">
        <v>262</v>
      </c>
      <c r="J59" s="10" t="s">
        <v>262</v>
      </c>
    </row>
    <row r="60" spans="1:12" ht="15.6" x14ac:dyDescent="0.3">
      <c r="A60" s="117">
        <v>2</v>
      </c>
      <c r="B60" s="117">
        <v>313302</v>
      </c>
      <c r="C60" s="117" t="s">
        <v>1</v>
      </c>
      <c r="D60" s="1" t="s">
        <v>25</v>
      </c>
      <c r="E60" s="10">
        <f t="shared" ref="E60:E74" ca="1" si="36">IFERROR(INDIRECT("'CO3K'!" &amp; K60 &amp; $E$85),"")</f>
        <v>4</v>
      </c>
      <c r="F60" s="10">
        <f t="shared" ref="F60:F74" ca="1" si="37">IFERROR(INDIRECT("'CO3K'!" &amp; K60 &amp; $F$85),"")</f>
        <v>30</v>
      </c>
      <c r="G60" s="10">
        <f t="shared" ref="G60:G74" ca="1" si="38">IFERROR(INDIRECT("'CO3K'!" &amp; K60 &amp; $G$85),"")</f>
        <v>67</v>
      </c>
      <c r="H60" s="10">
        <f t="shared" ref="H60:H74" ca="1" si="39">IFERROR(INDIRECT("'CO3K'!" &amp; L60 &amp; $H$85),"")</f>
        <v>28</v>
      </c>
      <c r="I60" s="42">
        <f t="shared" ref="I60:I74" ca="1" si="40">IFERROR(H60/G60*100,"")</f>
        <v>41.791044776119399</v>
      </c>
      <c r="J60" s="42">
        <f t="shared" ref="J60:J74" ca="1" si="41">IFERROR(INDIRECT("'CO3K'!" &amp; L60 &amp; $J$85)/G60*100,"")</f>
        <v>40.298507462686565</v>
      </c>
      <c r="K60" s="58" t="s">
        <v>272</v>
      </c>
      <c r="L60" s="58" t="s">
        <v>271</v>
      </c>
    </row>
    <row r="61" spans="1:12" ht="15.6" x14ac:dyDescent="0.3">
      <c r="A61" s="118"/>
      <c r="B61" s="118"/>
      <c r="C61" s="118"/>
      <c r="D61" s="1" t="s">
        <v>24</v>
      </c>
      <c r="E61" s="10">
        <f t="shared" ca="1" si="36"/>
        <v>6</v>
      </c>
      <c r="F61" s="10">
        <f t="shared" ca="1" si="37"/>
        <v>63</v>
      </c>
      <c r="G61" s="10">
        <f t="shared" ca="1" si="38"/>
        <v>67</v>
      </c>
      <c r="H61" s="10">
        <f t="shared" ca="1" si="39"/>
        <v>28</v>
      </c>
      <c r="I61" s="42">
        <f t="shared" ca="1" si="40"/>
        <v>41.791044776119399</v>
      </c>
      <c r="J61" s="42">
        <f t="shared" ca="1" si="41"/>
        <v>40.298507462686565</v>
      </c>
      <c r="K61" s="58" t="s">
        <v>269</v>
      </c>
      <c r="L61" s="58" t="s">
        <v>271</v>
      </c>
    </row>
    <row r="62" spans="1:12" ht="15.6" x14ac:dyDescent="0.3">
      <c r="A62" s="118"/>
      <c r="B62" s="118"/>
      <c r="C62" s="118"/>
      <c r="D62" s="1" t="s">
        <v>28</v>
      </c>
      <c r="E62" s="10">
        <f t="shared" ca="1" si="36"/>
        <v>24</v>
      </c>
      <c r="F62" s="10">
        <f t="shared" ca="1" si="37"/>
        <v>49</v>
      </c>
      <c r="G62" s="10">
        <f t="shared" ca="1" si="38"/>
        <v>67</v>
      </c>
      <c r="H62" s="10">
        <f t="shared" ca="1" si="39"/>
        <v>63</v>
      </c>
      <c r="I62" s="42">
        <f t="shared" ca="1" si="40"/>
        <v>94.029850746268664</v>
      </c>
      <c r="J62" s="42">
        <f t="shared" ca="1" si="41"/>
        <v>92.537313432835816</v>
      </c>
      <c r="K62" s="58" t="s">
        <v>273</v>
      </c>
      <c r="L62" s="58" t="s">
        <v>273</v>
      </c>
    </row>
    <row r="63" spans="1:12" ht="15.6" x14ac:dyDescent="0.3">
      <c r="A63" s="118"/>
      <c r="B63" s="118"/>
      <c r="C63" s="118"/>
      <c r="D63" s="1" t="s">
        <v>27</v>
      </c>
      <c r="E63" s="10">
        <f t="shared" ca="1" si="36"/>
        <v>18</v>
      </c>
      <c r="F63" s="10">
        <f t="shared" ca="1" si="37"/>
        <v>23</v>
      </c>
      <c r="G63" s="10">
        <f t="shared" ca="1" si="38"/>
        <v>67</v>
      </c>
      <c r="H63" s="10">
        <f t="shared" ca="1" si="39"/>
        <v>67</v>
      </c>
      <c r="I63" s="42">
        <f t="shared" ca="1" si="40"/>
        <v>100</v>
      </c>
      <c r="J63" s="42">
        <f t="shared" ca="1" si="41"/>
        <v>98.507462686567166</v>
      </c>
      <c r="K63" s="58" t="s">
        <v>289</v>
      </c>
      <c r="L63" s="58" t="s">
        <v>289</v>
      </c>
    </row>
    <row r="64" spans="1:12" ht="15.6" x14ac:dyDescent="0.3">
      <c r="A64" s="119"/>
      <c r="B64" s="119"/>
      <c r="C64" s="119"/>
      <c r="D64" s="1" t="s">
        <v>6</v>
      </c>
      <c r="E64" s="10">
        <f t="shared" ca="1" si="36"/>
        <v>18</v>
      </c>
      <c r="F64" s="10">
        <f t="shared" ca="1" si="37"/>
        <v>23</v>
      </c>
      <c r="G64" s="10">
        <f t="shared" ca="1" si="38"/>
        <v>67</v>
      </c>
      <c r="H64" s="10">
        <f t="shared" ca="1" si="39"/>
        <v>67</v>
      </c>
      <c r="I64" s="42">
        <f t="shared" ca="1" si="40"/>
        <v>100</v>
      </c>
      <c r="J64" s="42">
        <f t="shared" ca="1" si="41"/>
        <v>98.507462686567166</v>
      </c>
      <c r="K64" s="58" t="s">
        <v>264</v>
      </c>
      <c r="L64" s="58" t="s">
        <v>264</v>
      </c>
    </row>
    <row r="65" spans="1:12" ht="15.6" x14ac:dyDescent="0.3">
      <c r="A65" s="117">
        <v>3</v>
      </c>
      <c r="B65" s="117">
        <v>313303</v>
      </c>
      <c r="C65" s="117" t="s">
        <v>2</v>
      </c>
      <c r="D65" s="1" t="s">
        <v>25</v>
      </c>
      <c r="E65" s="10">
        <f t="shared" ca="1" si="36"/>
        <v>4</v>
      </c>
      <c r="F65" s="10">
        <f t="shared" ca="1" si="37"/>
        <v>29</v>
      </c>
      <c r="G65" s="10">
        <f t="shared" ca="1" si="38"/>
        <v>68</v>
      </c>
      <c r="H65" s="10">
        <f t="shared" ca="1" si="39"/>
        <v>18</v>
      </c>
      <c r="I65" s="42">
        <f t="shared" ca="1" si="40"/>
        <v>26.47058823529412</v>
      </c>
      <c r="J65" s="42">
        <f t="shared" ca="1" si="41"/>
        <v>26.47058823529412</v>
      </c>
      <c r="K65" s="58" t="s">
        <v>266</v>
      </c>
      <c r="L65" s="58" t="s">
        <v>267</v>
      </c>
    </row>
    <row r="66" spans="1:12" ht="15.6" x14ac:dyDescent="0.3">
      <c r="A66" s="118"/>
      <c r="B66" s="118"/>
      <c r="C66" s="118"/>
      <c r="D66" s="1" t="s">
        <v>24</v>
      </c>
      <c r="E66" s="10">
        <f t="shared" ca="1" si="36"/>
        <v>0</v>
      </c>
      <c r="F66" s="10">
        <f t="shared" ca="1" si="37"/>
        <v>70</v>
      </c>
      <c r="G66" s="10">
        <f t="shared" ca="1" si="38"/>
        <v>67</v>
      </c>
      <c r="H66" s="10">
        <f t="shared" ca="1" si="39"/>
        <v>18</v>
      </c>
      <c r="I66" s="42">
        <f t="shared" ca="1" si="40"/>
        <v>26.865671641791046</v>
      </c>
      <c r="J66" s="42">
        <f t="shared" ca="1" si="41"/>
        <v>26.865671641791046</v>
      </c>
      <c r="K66" s="58" t="s">
        <v>7</v>
      </c>
      <c r="L66" s="58" t="s">
        <v>267</v>
      </c>
    </row>
    <row r="67" spans="1:12" ht="15.6" x14ac:dyDescent="0.3">
      <c r="A67" s="118"/>
      <c r="B67" s="118"/>
      <c r="C67" s="118"/>
      <c r="D67" s="1" t="s">
        <v>28</v>
      </c>
      <c r="E67" s="10">
        <f t="shared" ca="1" si="36"/>
        <v>17</v>
      </c>
      <c r="F67" s="10">
        <f t="shared" ca="1" si="37"/>
        <v>24</v>
      </c>
      <c r="G67" s="10">
        <f t="shared" ca="1" si="38"/>
        <v>67</v>
      </c>
      <c r="H67" s="10">
        <f t="shared" ca="1" si="39"/>
        <v>67</v>
      </c>
      <c r="I67" s="42">
        <f t="shared" ca="1" si="40"/>
        <v>100</v>
      </c>
      <c r="J67" s="42">
        <f t="shared" ca="1" si="41"/>
        <v>98.507462686567166</v>
      </c>
      <c r="K67" s="58" t="s">
        <v>279</v>
      </c>
      <c r="L67" s="58" t="s">
        <v>279</v>
      </c>
    </row>
    <row r="68" spans="1:12" ht="15.6" x14ac:dyDescent="0.3">
      <c r="A68" s="118"/>
      <c r="B68" s="118"/>
      <c r="C68" s="118"/>
      <c r="D68" s="1" t="s">
        <v>27</v>
      </c>
      <c r="E68" s="10">
        <f t="shared" ca="1" si="36"/>
        <v>17</v>
      </c>
      <c r="F68" s="10">
        <f t="shared" ca="1" si="37"/>
        <v>24</v>
      </c>
      <c r="G68" s="10">
        <f t="shared" ca="1" si="38"/>
        <v>67</v>
      </c>
      <c r="H68" s="10">
        <f t="shared" ca="1" si="39"/>
        <v>67</v>
      </c>
      <c r="I68" s="42">
        <f t="shared" ca="1" si="40"/>
        <v>100</v>
      </c>
      <c r="J68" s="42">
        <f t="shared" ca="1" si="41"/>
        <v>98.507462686567166</v>
      </c>
      <c r="K68" s="58" t="s">
        <v>280</v>
      </c>
      <c r="L68" s="58" t="s">
        <v>280</v>
      </c>
    </row>
    <row r="69" spans="1:12" ht="15.6" x14ac:dyDescent="0.3">
      <c r="A69" s="119"/>
      <c r="B69" s="119"/>
      <c r="C69" s="119"/>
      <c r="D69" s="1" t="s">
        <v>6</v>
      </c>
      <c r="E69" s="10">
        <f t="shared" ca="1" si="36"/>
        <v>18</v>
      </c>
      <c r="F69" s="10">
        <f t="shared" ca="1" si="37"/>
        <v>24</v>
      </c>
      <c r="G69" s="10">
        <f t="shared" ca="1" si="38"/>
        <v>67</v>
      </c>
      <c r="H69" s="10">
        <f t="shared" ca="1" si="39"/>
        <v>67</v>
      </c>
      <c r="I69" s="42">
        <f t="shared" ca="1" si="40"/>
        <v>100</v>
      </c>
      <c r="J69" s="42">
        <f t="shared" ca="1" si="41"/>
        <v>98.507462686567166</v>
      </c>
      <c r="K69" s="58" t="s">
        <v>276</v>
      </c>
      <c r="L69" s="58" t="s">
        <v>276</v>
      </c>
    </row>
    <row r="70" spans="1:12" ht="15.6" x14ac:dyDescent="0.3">
      <c r="A70" s="117">
        <v>4</v>
      </c>
      <c r="B70" s="117">
        <v>313304</v>
      </c>
      <c r="C70" s="117" t="s">
        <v>3</v>
      </c>
      <c r="D70" s="1" t="s">
        <v>25</v>
      </c>
      <c r="E70" s="10">
        <f t="shared" ca="1" si="36"/>
        <v>0</v>
      </c>
      <c r="F70" s="10">
        <f t="shared" ca="1" si="37"/>
        <v>30</v>
      </c>
      <c r="G70" s="10">
        <f t="shared" ca="1" si="38"/>
        <v>67</v>
      </c>
      <c r="H70" s="10">
        <f t="shared" ca="1" si="39"/>
        <v>21</v>
      </c>
      <c r="I70" s="42">
        <f t="shared" ca="1" si="40"/>
        <v>31.343283582089555</v>
      </c>
      <c r="J70" s="42">
        <f t="shared" ca="1" si="41"/>
        <v>29.850746268656714</v>
      </c>
      <c r="K70" s="58" t="s">
        <v>290</v>
      </c>
      <c r="L70" s="58" t="s">
        <v>274</v>
      </c>
    </row>
    <row r="71" spans="1:12" ht="15.6" x14ac:dyDescent="0.3">
      <c r="A71" s="118"/>
      <c r="B71" s="118"/>
      <c r="C71" s="118"/>
      <c r="D71" s="1" t="s">
        <v>24</v>
      </c>
      <c r="E71" s="10">
        <f t="shared" ca="1" si="36"/>
        <v>0</v>
      </c>
      <c r="F71" s="10">
        <f t="shared" ca="1" si="37"/>
        <v>69</v>
      </c>
      <c r="G71" s="10">
        <f t="shared" ca="1" si="38"/>
        <v>67</v>
      </c>
      <c r="H71" s="10">
        <f t="shared" ca="1" si="39"/>
        <v>21</v>
      </c>
      <c r="I71" s="42">
        <f t="shared" ca="1" si="40"/>
        <v>31.343283582089555</v>
      </c>
      <c r="J71" s="42">
        <f t="shared" ca="1" si="41"/>
        <v>29.850746268656714</v>
      </c>
      <c r="K71" s="58" t="s">
        <v>8</v>
      </c>
      <c r="L71" s="58" t="s">
        <v>274</v>
      </c>
    </row>
    <row r="72" spans="1:12" ht="15.6" x14ac:dyDescent="0.3">
      <c r="A72" s="118"/>
      <c r="B72" s="118"/>
      <c r="C72" s="118"/>
      <c r="D72" s="1" t="s">
        <v>28</v>
      </c>
      <c r="E72" s="10">
        <f t="shared" ca="1" si="36"/>
        <v>29</v>
      </c>
      <c r="F72" s="10">
        <f t="shared" ca="1" si="37"/>
        <v>48</v>
      </c>
      <c r="G72" s="10">
        <f t="shared" ca="1" si="38"/>
        <v>67</v>
      </c>
      <c r="H72" s="10">
        <f t="shared" ca="1" si="39"/>
        <v>66</v>
      </c>
      <c r="I72" s="42">
        <f t="shared" ca="1" si="40"/>
        <v>98.507462686567166</v>
      </c>
      <c r="J72" s="42">
        <f t="shared" ca="1" si="41"/>
        <v>97.014925373134332</v>
      </c>
      <c r="K72" s="58" t="s">
        <v>291</v>
      </c>
      <c r="L72" s="58" t="s">
        <v>291</v>
      </c>
    </row>
    <row r="73" spans="1:12" ht="15.6" x14ac:dyDescent="0.3">
      <c r="A73" s="118"/>
      <c r="B73" s="118"/>
      <c r="C73" s="118"/>
      <c r="D73" s="1" t="s">
        <v>27</v>
      </c>
      <c r="E73" s="10">
        <f t="shared" ca="1" si="36"/>
        <v>19</v>
      </c>
      <c r="F73" s="10">
        <f t="shared" ca="1" si="37"/>
        <v>24</v>
      </c>
      <c r="G73" s="10">
        <f t="shared" ca="1" si="38"/>
        <v>67</v>
      </c>
      <c r="H73" s="10">
        <f t="shared" ca="1" si="39"/>
        <v>67</v>
      </c>
      <c r="I73" s="42">
        <f t="shared" ca="1" si="40"/>
        <v>100</v>
      </c>
      <c r="J73" s="42">
        <f t="shared" ca="1" si="41"/>
        <v>98.507462686567166</v>
      </c>
      <c r="K73" s="58" t="s">
        <v>106</v>
      </c>
      <c r="L73" s="58" t="s">
        <v>106</v>
      </c>
    </row>
    <row r="74" spans="1:12" ht="15.6" x14ac:dyDescent="0.3">
      <c r="A74" s="119"/>
      <c r="B74" s="119"/>
      <c r="C74" s="119"/>
      <c r="D74" s="1" t="s">
        <v>6</v>
      </c>
      <c r="E74" s="10">
        <f t="shared" ca="1" si="36"/>
        <v>19</v>
      </c>
      <c r="F74" s="10">
        <f t="shared" ca="1" si="37"/>
        <v>24</v>
      </c>
      <c r="G74" s="10">
        <f t="shared" ca="1" si="38"/>
        <v>67</v>
      </c>
      <c r="H74" s="10">
        <f t="shared" ca="1" si="39"/>
        <v>67</v>
      </c>
      <c r="I74" s="42">
        <f t="shared" ca="1" si="40"/>
        <v>100</v>
      </c>
      <c r="J74" s="42">
        <f t="shared" ca="1" si="41"/>
        <v>98.507462686567166</v>
      </c>
      <c r="K74" s="58" t="s">
        <v>277</v>
      </c>
      <c r="L74" s="58" t="s">
        <v>277</v>
      </c>
    </row>
    <row r="75" spans="1:12" ht="15.6" x14ac:dyDescent="0.3">
      <c r="A75" s="117">
        <v>5</v>
      </c>
      <c r="B75" s="117">
        <v>313001</v>
      </c>
      <c r="C75" s="117" t="s">
        <v>4</v>
      </c>
      <c r="D75" s="1" t="s">
        <v>25</v>
      </c>
      <c r="E75" s="10" t="s">
        <v>262</v>
      </c>
      <c r="F75" s="10" t="s">
        <v>262</v>
      </c>
      <c r="G75" s="10" t="s">
        <v>262</v>
      </c>
      <c r="H75" s="10" t="s">
        <v>262</v>
      </c>
      <c r="I75" s="10" t="s">
        <v>262</v>
      </c>
      <c r="J75" s="10" t="s">
        <v>262</v>
      </c>
    </row>
    <row r="76" spans="1:12" ht="15.6" x14ac:dyDescent="0.3">
      <c r="A76" s="118"/>
      <c r="B76" s="118"/>
      <c r="C76" s="118"/>
      <c r="D76" s="1" t="s">
        <v>24</v>
      </c>
      <c r="E76" s="10" t="s">
        <v>262</v>
      </c>
      <c r="F76" s="10" t="s">
        <v>262</v>
      </c>
      <c r="G76" s="10" t="s">
        <v>262</v>
      </c>
      <c r="H76" s="10" t="s">
        <v>262</v>
      </c>
      <c r="I76" s="10" t="s">
        <v>262</v>
      </c>
      <c r="J76" s="10" t="s">
        <v>262</v>
      </c>
    </row>
    <row r="77" spans="1:12" ht="15.6" x14ac:dyDescent="0.3">
      <c r="A77" s="118"/>
      <c r="B77" s="118"/>
      <c r="C77" s="118"/>
      <c r="D77" s="1" t="s">
        <v>28</v>
      </c>
      <c r="E77" s="10">
        <f ca="1">IFERROR(INDIRECT("'CO3K'!" &amp; K77 &amp; $E$85),"")</f>
        <v>20</v>
      </c>
      <c r="F77" s="10">
        <f ca="1">IFERROR(INDIRECT("'CO3K'!" &amp; K77 &amp; $F$85),"")</f>
        <v>23</v>
      </c>
      <c r="G77" s="10">
        <f ca="1">IFERROR(INDIRECT("'CO3K'!" &amp; K77 &amp; $G$85),"")</f>
        <v>67</v>
      </c>
      <c r="H77" s="10">
        <f ca="1">IFERROR(INDIRECT("'CO3K'!" &amp; L77 &amp; $H$85),"")</f>
        <v>67</v>
      </c>
      <c r="I77" s="42">
        <f ca="1">IFERROR(H77/G77*100,"")</f>
        <v>100</v>
      </c>
      <c r="J77" s="42">
        <f ca="1">IFERROR(INDIRECT("'CO3K'!" &amp; L77 &amp; $J$85)/G77*100,"")</f>
        <v>98.507462686567166</v>
      </c>
      <c r="K77" s="58" t="s">
        <v>278</v>
      </c>
      <c r="L77" s="58" t="s">
        <v>278</v>
      </c>
    </row>
    <row r="78" spans="1:12" ht="15.6" x14ac:dyDescent="0.3">
      <c r="A78" s="118"/>
      <c r="B78" s="118"/>
      <c r="C78" s="118"/>
      <c r="D78" s="1" t="s">
        <v>27</v>
      </c>
      <c r="E78" s="10" t="s">
        <v>262</v>
      </c>
      <c r="F78" s="10" t="s">
        <v>262</v>
      </c>
      <c r="G78" s="10" t="s">
        <v>262</v>
      </c>
      <c r="H78" s="10" t="s">
        <v>262</v>
      </c>
      <c r="I78" s="10" t="s">
        <v>262</v>
      </c>
      <c r="J78" s="10" t="s">
        <v>262</v>
      </c>
      <c r="K78" s="58" t="s">
        <v>292</v>
      </c>
      <c r="L78" s="58" t="s">
        <v>292</v>
      </c>
    </row>
    <row r="79" spans="1:12" ht="15.6" x14ac:dyDescent="0.3">
      <c r="A79" s="119"/>
      <c r="B79" s="119"/>
      <c r="C79" s="119"/>
      <c r="D79" s="1" t="s">
        <v>6</v>
      </c>
      <c r="E79" s="10">
        <f ca="1">IFERROR(INDIRECT("'CO3K'!" &amp; K79 &amp; $E$85),"")</f>
        <v>21</v>
      </c>
      <c r="F79" s="10">
        <f ca="1">IFERROR(INDIRECT("'CO3K'!" &amp; K79 &amp; $F$85),"")</f>
        <v>23</v>
      </c>
      <c r="G79" s="10">
        <f ca="1">IFERROR(INDIRECT("'CO3K'!" &amp; K79 &amp; $G$85),"")</f>
        <v>67</v>
      </c>
      <c r="H79" s="10">
        <f ca="1">IFERROR(INDIRECT("'CO3K'!" &amp; L79 &amp; $H$85),"")</f>
        <v>67</v>
      </c>
      <c r="I79" s="42">
        <f ca="1">IFERROR(H79/G79*100,"")</f>
        <v>100</v>
      </c>
      <c r="J79" s="42">
        <f ca="1">IFERROR(INDIRECT("'CO3K'!" &amp; L79 &amp; $J$85)/G79*100,"")</f>
        <v>98.507462686567166</v>
      </c>
      <c r="K79" s="58" t="s">
        <v>292</v>
      </c>
      <c r="L79" s="58" t="s">
        <v>292</v>
      </c>
    </row>
    <row r="80" spans="1:12" ht="15.6" x14ac:dyDescent="0.3">
      <c r="A80" s="129">
        <v>6</v>
      </c>
      <c r="B80" s="129">
        <v>313002</v>
      </c>
      <c r="C80" s="129" t="s">
        <v>5</v>
      </c>
      <c r="D80" s="1" t="s">
        <v>25</v>
      </c>
      <c r="E80" s="10" t="s">
        <v>262</v>
      </c>
      <c r="F80" s="10" t="s">
        <v>262</v>
      </c>
      <c r="G80" s="10" t="s">
        <v>262</v>
      </c>
      <c r="H80" s="10" t="s">
        <v>262</v>
      </c>
      <c r="I80" s="10" t="s">
        <v>262</v>
      </c>
      <c r="J80" s="10" t="s">
        <v>262</v>
      </c>
    </row>
    <row r="81" spans="1:12" ht="15.6" x14ac:dyDescent="0.3">
      <c r="A81" s="129"/>
      <c r="B81" s="129"/>
      <c r="C81" s="129"/>
      <c r="D81" s="1" t="s">
        <v>24</v>
      </c>
      <c r="E81" s="10" t="s">
        <v>262</v>
      </c>
      <c r="F81" s="10" t="s">
        <v>262</v>
      </c>
      <c r="G81" s="10" t="s">
        <v>262</v>
      </c>
      <c r="H81" s="10" t="s">
        <v>262</v>
      </c>
      <c r="I81" s="10" t="s">
        <v>262</v>
      </c>
      <c r="J81" s="10" t="s">
        <v>262</v>
      </c>
    </row>
    <row r="82" spans="1:12" ht="15.6" x14ac:dyDescent="0.3">
      <c r="A82" s="129"/>
      <c r="B82" s="129"/>
      <c r="C82" s="129"/>
      <c r="D82" s="1" t="s">
        <v>28</v>
      </c>
      <c r="E82" s="10" t="s">
        <v>262</v>
      </c>
      <c r="F82" s="10" t="s">
        <v>262</v>
      </c>
      <c r="G82" s="10" t="s">
        <v>262</v>
      </c>
      <c r="H82" s="10" t="s">
        <v>262</v>
      </c>
      <c r="I82" s="10" t="s">
        <v>262</v>
      </c>
      <c r="J82" s="10" t="s">
        <v>262</v>
      </c>
      <c r="L82" s="58"/>
    </row>
    <row r="83" spans="1:12" ht="15.6" x14ac:dyDescent="0.3">
      <c r="A83" s="129"/>
      <c r="B83" s="129"/>
      <c r="C83" s="129"/>
      <c r="D83" s="1" t="s">
        <v>27</v>
      </c>
      <c r="E83" s="10" t="s">
        <v>262</v>
      </c>
      <c r="F83" s="10" t="s">
        <v>262</v>
      </c>
      <c r="G83" s="10" t="s">
        <v>262</v>
      </c>
      <c r="H83" s="10" t="s">
        <v>262</v>
      </c>
      <c r="I83" s="10" t="s">
        <v>262</v>
      </c>
      <c r="J83" s="10" t="s">
        <v>262</v>
      </c>
    </row>
    <row r="84" spans="1:12" ht="15.6" x14ac:dyDescent="0.3">
      <c r="A84" s="129"/>
      <c r="B84" s="129"/>
      <c r="C84" s="129"/>
      <c r="D84" s="1" t="s">
        <v>6</v>
      </c>
      <c r="E84" s="10">
        <f ca="1">IFERROR(INDIRECT("'CO3K'!" &amp; K84 &amp; $E$85),"")</f>
        <v>30</v>
      </c>
      <c r="F84" s="10">
        <f ca="1">IFERROR(INDIRECT("'CO3K'!" &amp; K84 &amp; $F$85),"")</f>
        <v>46</v>
      </c>
      <c r="G84" s="10">
        <f ca="1">IFERROR(INDIRECT("'CO3K'!" &amp; K84 &amp; $G$85),"")</f>
        <v>67</v>
      </c>
      <c r="H84" s="10">
        <f ca="1">IFERROR(INDIRECT("'CO3K'!" &amp; L84 &amp; $H$85),"")</f>
        <v>67</v>
      </c>
      <c r="I84" s="42">
        <f ca="1">IFERROR(H84/G84*100,"")</f>
        <v>100</v>
      </c>
      <c r="J84" s="42">
        <f ca="1">IFERROR(INDIRECT("'CO3K'!" &amp; L84 &amp; $J$85)/G84*100,"")</f>
        <v>98.507462686567166</v>
      </c>
      <c r="K84" s="58" t="s">
        <v>293</v>
      </c>
      <c r="L84" s="58" t="s">
        <v>293</v>
      </c>
    </row>
    <row r="85" spans="1:12" ht="15.6" x14ac:dyDescent="0.3">
      <c r="A85" s="49"/>
      <c r="B85" s="49"/>
      <c r="C85" s="49"/>
      <c r="D85" s="3"/>
      <c r="E85" s="37">
        <v>80</v>
      </c>
      <c r="F85" s="37">
        <v>81</v>
      </c>
      <c r="G85" s="37">
        <v>82</v>
      </c>
      <c r="H85" s="37">
        <v>83</v>
      </c>
      <c r="I85" s="37"/>
      <c r="J85" s="37">
        <v>84</v>
      </c>
    </row>
    <row r="86" spans="1:12" ht="15.6" x14ac:dyDescent="0.3">
      <c r="A86" s="49"/>
      <c r="B86" s="49"/>
      <c r="C86" s="49"/>
      <c r="D86" s="3"/>
      <c r="E86" s="4"/>
      <c r="F86" s="4"/>
      <c r="G86" s="4"/>
      <c r="H86" s="4"/>
      <c r="I86" s="50"/>
      <c r="J86" s="4"/>
    </row>
    <row r="87" spans="1:12" ht="15.6" x14ac:dyDescent="0.3">
      <c r="A87" s="115" t="s">
        <v>281</v>
      </c>
      <c r="B87" s="115"/>
      <c r="C87" s="115"/>
      <c r="D87" s="115"/>
      <c r="E87" s="115"/>
      <c r="F87" s="37"/>
      <c r="G87" s="116" t="s">
        <v>282</v>
      </c>
      <c r="H87" s="116"/>
      <c r="I87" s="116"/>
      <c r="J87" s="116"/>
      <c r="L87" s="58"/>
    </row>
    <row r="88" spans="1:12" ht="15.6" x14ac:dyDescent="0.3">
      <c r="A88" s="115" t="s">
        <v>283</v>
      </c>
      <c r="B88" s="115"/>
      <c r="C88" s="115"/>
      <c r="D88" s="115"/>
      <c r="E88" s="115"/>
      <c r="F88" s="37"/>
      <c r="G88" s="116" t="s">
        <v>284</v>
      </c>
      <c r="H88" s="116"/>
      <c r="I88" s="116"/>
      <c r="J88" s="116"/>
      <c r="L88" s="58"/>
    </row>
    <row r="89" spans="1:12" ht="18" x14ac:dyDescent="0.35">
      <c r="A89" s="128" t="s">
        <v>246</v>
      </c>
      <c r="B89" s="128"/>
      <c r="C89" s="128"/>
      <c r="D89" s="128"/>
      <c r="E89" s="128"/>
      <c r="F89" s="128"/>
      <c r="G89" s="128"/>
      <c r="H89" s="128"/>
      <c r="I89" s="128"/>
      <c r="J89" s="36" t="s">
        <v>286</v>
      </c>
    </row>
    <row r="90" spans="1:12" ht="18" x14ac:dyDescent="0.35">
      <c r="A90" s="128" t="s">
        <v>248</v>
      </c>
      <c r="B90" s="128"/>
      <c r="C90" s="128"/>
      <c r="D90" s="128"/>
      <c r="E90" s="128"/>
      <c r="F90" s="128"/>
      <c r="G90" s="128"/>
      <c r="H90" s="128"/>
      <c r="I90" s="128"/>
      <c r="J90" s="37"/>
    </row>
    <row r="91" spans="1:12" ht="18" x14ac:dyDescent="0.35">
      <c r="A91" s="123" t="s">
        <v>249</v>
      </c>
      <c r="B91" s="123"/>
      <c r="C91" s="123"/>
      <c r="D91" s="124" t="s">
        <v>250</v>
      </c>
      <c r="E91" s="124"/>
      <c r="F91" s="124"/>
      <c r="G91" s="124"/>
      <c r="H91" s="124"/>
      <c r="I91" s="124"/>
      <c r="J91" s="37"/>
    </row>
    <row r="92" spans="1:12" x14ac:dyDescent="0.3">
      <c r="A92" s="125" t="s">
        <v>251</v>
      </c>
      <c r="B92" s="125"/>
      <c r="C92" s="125"/>
      <c r="D92" s="125"/>
      <c r="E92" s="126" t="s">
        <v>252</v>
      </c>
      <c r="F92" s="126"/>
      <c r="G92" s="126"/>
      <c r="H92" s="38"/>
      <c r="I92" s="38"/>
      <c r="J92" s="37"/>
    </row>
    <row r="93" spans="1:12" x14ac:dyDescent="0.3">
      <c r="E93" s="126" t="s">
        <v>287</v>
      </c>
      <c r="F93" s="126"/>
      <c r="G93" s="38" t="s">
        <v>254</v>
      </c>
      <c r="H93" s="127" t="s">
        <v>255</v>
      </c>
      <c r="I93" s="127"/>
      <c r="J93" s="37"/>
    </row>
    <row r="94" spans="1:12" ht="43.2" x14ac:dyDescent="0.3">
      <c r="A94" s="39" t="s">
        <v>256</v>
      </c>
      <c r="B94" s="39" t="s">
        <v>257</v>
      </c>
      <c r="C94" s="39" t="s">
        <v>258</v>
      </c>
      <c r="D94" s="39" t="s">
        <v>23</v>
      </c>
      <c r="E94" s="40" t="s">
        <v>9</v>
      </c>
      <c r="F94" s="40" t="s">
        <v>10</v>
      </c>
      <c r="G94" s="40" t="s">
        <v>11</v>
      </c>
      <c r="H94" s="40" t="s">
        <v>12</v>
      </c>
      <c r="I94" s="40" t="s">
        <v>13</v>
      </c>
      <c r="J94" s="41" t="s">
        <v>14</v>
      </c>
    </row>
    <row r="95" spans="1:12" ht="15.6" x14ac:dyDescent="0.3">
      <c r="A95" s="117">
        <v>1</v>
      </c>
      <c r="B95" s="117">
        <v>315319</v>
      </c>
      <c r="C95" s="117" t="s">
        <v>29</v>
      </c>
      <c r="D95" s="1" t="s">
        <v>25</v>
      </c>
      <c r="E95" s="13">
        <f ca="1">IFERROR(INDIRECT("'CO5K'!" &amp; K95 &amp; $E$125),"")</f>
        <v>4</v>
      </c>
      <c r="F95" s="13">
        <f ca="1">IFERROR(INDIRECT("'CO5K'!" &amp; K95 &amp; $F$125),"")</f>
        <v>30</v>
      </c>
      <c r="G95" s="13">
        <f ca="1">IFERROR(INDIRECT("'CO5K'!" &amp; K95 &amp; $G$125),"")</f>
        <v>57</v>
      </c>
      <c r="H95" s="13">
        <f ca="1">IFERROR(INDIRECT("'CO5K'!" &amp; L95 &amp; $H$85),"")</f>
        <v>43</v>
      </c>
      <c r="I95" s="42">
        <f ca="1">IFERROR(H95/G95*100,"")</f>
        <v>75.438596491228068</v>
      </c>
      <c r="J95" s="42">
        <f ca="1">IFERROR(INDIRECT("'CO5K'!" &amp; L95 &amp; $J$125)/G95*100,"")</f>
        <v>75.438596491228068</v>
      </c>
      <c r="K95" s="58" t="s">
        <v>259</v>
      </c>
      <c r="L95" s="58" t="s">
        <v>260</v>
      </c>
    </row>
    <row r="96" spans="1:12" ht="15.6" x14ac:dyDescent="0.3">
      <c r="A96" s="118"/>
      <c r="B96" s="118"/>
      <c r="C96" s="118"/>
      <c r="D96" s="1" t="s">
        <v>24</v>
      </c>
      <c r="E96" s="13">
        <f t="shared" ref="E96:E104" ca="1" si="42">IFERROR(INDIRECT("'CO5K'!" &amp; K96 &amp; $E$125),"")</f>
        <v>9</v>
      </c>
      <c r="F96" s="13">
        <f t="shared" ref="F96:F104" ca="1" si="43">IFERROR(INDIRECT("'CO5K'!" &amp; K96 &amp; $F$125),"")</f>
        <v>65</v>
      </c>
      <c r="G96" s="13">
        <f t="shared" ref="G96:G104" ca="1" si="44">IFERROR(INDIRECT("'CO5K'!" &amp; K96 &amp; $G$125),"")</f>
        <v>57</v>
      </c>
      <c r="H96" s="13">
        <f t="shared" ref="H96:H104" ca="1" si="45">IFERROR(INDIRECT("'CO5K'!" &amp; L96 &amp; $H$85),"")</f>
        <v>43</v>
      </c>
      <c r="I96" s="42">
        <f t="shared" ref="I96:I104" ca="1" si="46">IFERROR(H96/G96*100,"")</f>
        <v>75.438596491228068</v>
      </c>
      <c r="J96" s="42">
        <f t="shared" ref="J96:J104" ca="1" si="47">IFERROR(INDIRECT("'CO5K'!" &amp; L96 &amp; $J$125)/G96*100,"")</f>
        <v>75.438596491228068</v>
      </c>
      <c r="K96" s="58" t="s">
        <v>261</v>
      </c>
      <c r="L96" s="58" t="s">
        <v>260</v>
      </c>
    </row>
    <row r="97" spans="1:12" ht="15.6" x14ac:dyDescent="0.3">
      <c r="A97" s="118"/>
      <c r="B97" s="118"/>
      <c r="C97" s="118"/>
      <c r="D97" s="1" t="s">
        <v>28</v>
      </c>
      <c r="E97" s="13">
        <f t="shared" ca="1" si="42"/>
        <v>20</v>
      </c>
      <c r="F97" s="13">
        <f t="shared" ca="1" si="43"/>
        <v>23</v>
      </c>
      <c r="G97" s="13">
        <f t="shared" ca="1" si="44"/>
        <v>57</v>
      </c>
      <c r="H97" s="13">
        <f t="shared" ca="1" si="45"/>
        <v>57</v>
      </c>
      <c r="I97" s="42">
        <f t="shared" ca="1" si="46"/>
        <v>100</v>
      </c>
      <c r="J97" s="42">
        <f t="shared" ca="1" si="47"/>
        <v>100</v>
      </c>
      <c r="K97" s="58" t="s">
        <v>270</v>
      </c>
      <c r="L97" s="58" t="s">
        <v>270</v>
      </c>
    </row>
    <row r="98" spans="1:12" ht="15.6" x14ac:dyDescent="0.3">
      <c r="A98" s="118"/>
      <c r="B98" s="118"/>
      <c r="C98" s="118"/>
      <c r="D98" s="1" t="s">
        <v>27</v>
      </c>
      <c r="E98" s="13">
        <f t="shared" ca="1" si="42"/>
        <v>20</v>
      </c>
      <c r="F98" s="13">
        <f t="shared" ca="1" si="43"/>
        <v>24</v>
      </c>
      <c r="G98" s="13">
        <f t="shared" ca="1" si="44"/>
        <v>57</v>
      </c>
      <c r="H98" s="13">
        <f t="shared" ca="1" si="45"/>
        <v>57</v>
      </c>
      <c r="I98" s="42">
        <f t="shared" ca="1" si="46"/>
        <v>100</v>
      </c>
      <c r="J98" s="42">
        <f t="shared" ca="1" si="47"/>
        <v>100</v>
      </c>
      <c r="K98" s="58" t="s">
        <v>263</v>
      </c>
      <c r="L98" s="58" t="s">
        <v>263</v>
      </c>
    </row>
    <row r="99" spans="1:12" ht="15.6" x14ac:dyDescent="0.3">
      <c r="A99" s="119"/>
      <c r="B99" s="119"/>
      <c r="C99" s="119"/>
      <c r="D99" s="1" t="s">
        <v>6</v>
      </c>
      <c r="E99" s="13">
        <f t="shared" ca="1" si="42"/>
        <v>21</v>
      </c>
      <c r="F99" s="13">
        <f t="shared" ca="1" si="43"/>
        <v>24</v>
      </c>
      <c r="G99" s="13">
        <f t="shared" ca="1" si="44"/>
        <v>57</v>
      </c>
      <c r="H99" s="13">
        <f t="shared" ca="1" si="45"/>
        <v>57</v>
      </c>
      <c r="I99" s="42">
        <f t="shared" ca="1" si="46"/>
        <v>100</v>
      </c>
      <c r="J99" s="42">
        <f t="shared" ca="1" si="47"/>
        <v>100</v>
      </c>
      <c r="K99" s="58" t="s">
        <v>269</v>
      </c>
      <c r="L99" s="58" t="s">
        <v>269</v>
      </c>
    </row>
    <row r="100" spans="1:12" ht="15.6" x14ac:dyDescent="0.3">
      <c r="A100" s="117">
        <v>2</v>
      </c>
      <c r="B100" s="117">
        <v>315323</v>
      </c>
      <c r="C100" s="117" t="s">
        <v>30</v>
      </c>
      <c r="D100" s="1" t="s">
        <v>25</v>
      </c>
      <c r="E100" s="13">
        <f t="shared" ca="1" si="42"/>
        <v>25</v>
      </c>
      <c r="F100" s="13">
        <f t="shared" ca="1" si="43"/>
        <v>99</v>
      </c>
      <c r="G100" s="13">
        <f t="shared" ca="1" si="44"/>
        <v>57</v>
      </c>
      <c r="H100" s="13">
        <f ca="1">IFERROR(INDIRECT("'CO5K'!" &amp; K100 &amp; $H$85),"")</f>
        <v>51</v>
      </c>
      <c r="I100" s="42">
        <f t="shared" ca="1" si="46"/>
        <v>89.473684210526315</v>
      </c>
      <c r="J100" s="42">
        <f ca="1">IFERROR(INDIRECT("'CO5K'!" &amp; K100 &amp; $J$125)/G100*100,"")</f>
        <v>89.473684210526315</v>
      </c>
      <c r="K100" s="58" t="s">
        <v>289</v>
      </c>
      <c r="L100" s="58" t="s">
        <v>271</v>
      </c>
    </row>
    <row r="101" spans="1:12" ht="15.6" x14ac:dyDescent="0.3">
      <c r="A101" s="118"/>
      <c r="B101" s="118"/>
      <c r="C101" s="118"/>
      <c r="D101" s="1" t="s">
        <v>24</v>
      </c>
      <c r="E101" s="13">
        <f t="shared" ca="1" si="42"/>
        <v>8</v>
      </c>
      <c r="F101" s="13">
        <f t="shared" ca="1" si="43"/>
        <v>69</v>
      </c>
      <c r="G101" s="13">
        <f t="shared" ca="1" si="44"/>
        <v>57</v>
      </c>
      <c r="H101" s="13">
        <f ca="1">IFERROR(INDIRECT("'CO5K'!" &amp; K100 &amp; $H$85),"")</f>
        <v>51</v>
      </c>
      <c r="I101" s="42">
        <f t="shared" ca="1" si="46"/>
        <v>89.473684210526315</v>
      </c>
      <c r="J101" s="42">
        <f ca="1">IFERROR(INDIRECT("'CO5K'!" &amp; K100 &amp; $J$125)/G101*100,"")</f>
        <v>89.473684210526315</v>
      </c>
      <c r="K101" s="58" t="s">
        <v>272</v>
      </c>
      <c r="L101" s="58" t="s">
        <v>271</v>
      </c>
    </row>
    <row r="102" spans="1:12" ht="15.6" x14ac:dyDescent="0.3">
      <c r="A102" s="118"/>
      <c r="B102" s="118"/>
      <c r="C102" s="118"/>
      <c r="D102" s="1" t="s">
        <v>28</v>
      </c>
      <c r="E102" s="13">
        <f t="shared" ca="1" si="42"/>
        <v>20</v>
      </c>
      <c r="F102" s="13">
        <f t="shared" ca="1" si="43"/>
        <v>23</v>
      </c>
      <c r="G102" s="13">
        <f t="shared" ca="1" si="44"/>
        <v>57</v>
      </c>
      <c r="H102" s="13">
        <f t="shared" ca="1" si="45"/>
        <v>57</v>
      </c>
      <c r="I102" s="42">
        <f t="shared" ca="1" si="46"/>
        <v>100</v>
      </c>
      <c r="J102" s="42">
        <f t="shared" ca="1" si="47"/>
        <v>100</v>
      </c>
      <c r="K102" s="58" t="s">
        <v>265</v>
      </c>
      <c r="L102" s="58" t="s">
        <v>265</v>
      </c>
    </row>
    <row r="103" spans="1:12" ht="15.6" x14ac:dyDescent="0.3">
      <c r="A103" s="118"/>
      <c r="B103" s="118"/>
      <c r="C103" s="118"/>
      <c r="D103" s="1" t="s">
        <v>27</v>
      </c>
      <c r="E103" s="13">
        <f t="shared" ca="1" si="42"/>
        <v>21</v>
      </c>
      <c r="F103" s="13">
        <f t="shared" ca="1" si="43"/>
        <v>23</v>
      </c>
      <c r="G103" s="13">
        <f t="shared" ca="1" si="44"/>
        <v>57</v>
      </c>
      <c r="H103" s="13">
        <f t="shared" ca="1" si="45"/>
        <v>57</v>
      </c>
      <c r="I103" s="42">
        <f t="shared" ca="1" si="46"/>
        <v>100</v>
      </c>
      <c r="J103" s="42">
        <f t="shared" ca="1" si="47"/>
        <v>100</v>
      </c>
      <c r="K103" s="58" t="s">
        <v>273</v>
      </c>
      <c r="L103" s="58" t="s">
        <v>273</v>
      </c>
    </row>
    <row r="104" spans="1:12" ht="15.6" x14ac:dyDescent="0.3">
      <c r="A104" s="119"/>
      <c r="B104" s="119"/>
      <c r="C104" s="119"/>
      <c r="D104" s="1" t="s">
        <v>6</v>
      </c>
      <c r="E104" s="13">
        <f t="shared" ca="1" si="42"/>
        <v>20</v>
      </c>
      <c r="F104" s="13">
        <f t="shared" ca="1" si="43"/>
        <v>23</v>
      </c>
      <c r="G104" s="13">
        <f t="shared" ca="1" si="44"/>
        <v>57</v>
      </c>
      <c r="H104" s="13">
        <f t="shared" ca="1" si="45"/>
        <v>57</v>
      </c>
      <c r="I104" s="42">
        <f t="shared" ca="1" si="46"/>
        <v>100</v>
      </c>
      <c r="J104" s="42">
        <f t="shared" ca="1" si="47"/>
        <v>100</v>
      </c>
      <c r="K104" s="58" t="s">
        <v>7</v>
      </c>
      <c r="L104" s="58" t="s">
        <v>7</v>
      </c>
    </row>
    <row r="105" spans="1:12" ht="15.6" x14ac:dyDescent="0.3">
      <c r="A105" s="117">
        <v>3</v>
      </c>
      <c r="B105" s="117">
        <v>315002</v>
      </c>
      <c r="C105" s="117" t="s">
        <v>31</v>
      </c>
      <c r="D105" s="1" t="s">
        <v>25</v>
      </c>
      <c r="E105" s="13" t="s">
        <v>262</v>
      </c>
      <c r="F105" s="13" t="s">
        <v>262</v>
      </c>
      <c r="G105" s="13" t="s">
        <v>262</v>
      </c>
      <c r="H105" s="13" t="s">
        <v>262</v>
      </c>
      <c r="I105" s="42" t="s">
        <v>262</v>
      </c>
      <c r="J105" s="42" t="s">
        <v>262</v>
      </c>
    </row>
    <row r="106" spans="1:12" ht="15.6" x14ac:dyDescent="0.3">
      <c r="A106" s="118"/>
      <c r="B106" s="118"/>
      <c r="C106" s="118"/>
      <c r="D106" s="1" t="s">
        <v>24</v>
      </c>
      <c r="E106" s="13" t="s">
        <v>262</v>
      </c>
      <c r="F106" s="13" t="s">
        <v>262</v>
      </c>
      <c r="G106" s="13" t="s">
        <v>262</v>
      </c>
      <c r="H106" s="13" t="s">
        <v>262</v>
      </c>
      <c r="I106" s="42" t="s">
        <v>262</v>
      </c>
      <c r="J106" s="42" t="s">
        <v>262</v>
      </c>
    </row>
    <row r="107" spans="1:12" ht="15.6" x14ac:dyDescent="0.3">
      <c r="A107" s="118"/>
      <c r="B107" s="118"/>
      <c r="C107" s="118"/>
      <c r="D107" s="1" t="s">
        <v>28</v>
      </c>
      <c r="E107" s="13">
        <f t="shared" ref="E107:E108" ca="1" si="48">IFERROR(INDIRECT("'CO5K'!" &amp; K107 &amp; $E$125),"")</f>
        <v>17</v>
      </c>
      <c r="F107" s="13">
        <f t="shared" ref="F107:F108" ca="1" si="49">IFERROR(INDIRECT("'CO5K'!" &amp; K107 &amp; $F$125),"")</f>
        <v>23</v>
      </c>
      <c r="G107" s="13">
        <f t="shared" ref="G107:G108" ca="1" si="50">IFERROR(INDIRECT("'CO5K'!" &amp; K107 &amp; $G$125),"")</f>
        <v>57</v>
      </c>
      <c r="H107" s="13">
        <f t="shared" ref="H107:H108" ca="1" si="51">IFERROR(INDIRECT("'CO5K'!" &amp; L107 &amp; $H$85),"")</f>
        <v>57</v>
      </c>
      <c r="I107" s="42">
        <f t="shared" ref="I107:I108" ca="1" si="52">IFERROR(H107/G107*100,"")</f>
        <v>100</v>
      </c>
      <c r="J107" s="42">
        <f t="shared" ref="J107:J108" ca="1" si="53">IFERROR(INDIRECT("'CO5K'!" &amp; L107 &amp; $J$125)/G107*100,"")</f>
        <v>100</v>
      </c>
      <c r="K107" s="58" t="s">
        <v>266</v>
      </c>
      <c r="L107" s="58" t="s">
        <v>266</v>
      </c>
    </row>
    <row r="108" spans="1:12" ht="15.6" x14ac:dyDescent="0.3">
      <c r="A108" s="118"/>
      <c r="B108" s="118"/>
      <c r="C108" s="118"/>
      <c r="D108" s="1" t="s">
        <v>27</v>
      </c>
      <c r="E108" s="13">
        <f t="shared" ca="1" si="48"/>
        <v>35</v>
      </c>
      <c r="F108" s="13">
        <f t="shared" ca="1" si="49"/>
        <v>46</v>
      </c>
      <c r="G108" s="13">
        <f t="shared" ca="1" si="50"/>
        <v>57</v>
      </c>
      <c r="H108" s="13">
        <f t="shared" ca="1" si="51"/>
        <v>57</v>
      </c>
      <c r="I108" s="42">
        <f t="shared" ca="1" si="52"/>
        <v>100</v>
      </c>
      <c r="J108" s="42">
        <f t="shared" ca="1" si="53"/>
        <v>100</v>
      </c>
      <c r="K108" s="58" t="s">
        <v>267</v>
      </c>
      <c r="L108" s="58" t="s">
        <v>267</v>
      </c>
    </row>
    <row r="109" spans="1:12" ht="15.6" x14ac:dyDescent="0.3">
      <c r="A109" s="119"/>
      <c r="B109" s="119"/>
      <c r="C109" s="119"/>
      <c r="D109" s="1" t="s">
        <v>6</v>
      </c>
      <c r="E109" s="13" t="s">
        <v>262</v>
      </c>
      <c r="F109" s="13" t="s">
        <v>262</v>
      </c>
      <c r="G109" s="13" t="s">
        <v>262</v>
      </c>
      <c r="H109" s="13" t="s">
        <v>262</v>
      </c>
      <c r="I109" s="42" t="s">
        <v>262</v>
      </c>
      <c r="J109" s="42" t="s">
        <v>262</v>
      </c>
    </row>
    <row r="110" spans="1:12" ht="15.6" x14ac:dyDescent="0.3">
      <c r="A110" s="117">
        <v>4</v>
      </c>
      <c r="B110" s="117">
        <v>315003</v>
      </c>
      <c r="C110" s="117" t="s">
        <v>32</v>
      </c>
      <c r="D110" s="1" t="s">
        <v>25</v>
      </c>
      <c r="E110" s="13" t="s">
        <v>262</v>
      </c>
      <c r="F110" s="13" t="s">
        <v>262</v>
      </c>
      <c r="G110" s="13" t="s">
        <v>262</v>
      </c>
      <c r="H110" s="13" t="s">
        <v>262</v>
      </c>
      <c r="I110" s="42" t="s">
        <v>262</v>
      </c>
      <c r="J110" s="42" t="s">
        <v>262</v>
      </c>
    </row>
    <row r="111" spans="1:12" ht="15.6" x14ac:dyDescent="0.3">
      <c r="A111" s="118"/>
      <c r="B111" s="118"/>
      <c r="C111" s="118"/>
      <c r="D111" s="1" t="s">
        <v>24</v>
      </c>
      <c r="E111" s="13" t="s">
        <v>262</v>
      </c>
      <c r="F111" s="13" t="s">
        <v>262</v>
      </c>
      <c r="G111" s="13" t="s">
        <v>262</v>
      </c>
      <c r="H111" s="13" t="s">
        <v>262</v>
      </c>
      <c r="I111" s="42" t="s">
        <v>262</v>
      </c>
      <c r="J111" s="42" t="s">
        <v>262</v>
      </c>
    </row>
    <row r="112" spans="1:12" ht="15.6" x14ac:dyDescent="0.3">
      <c r="A112" s="118"/>
      <c r="B112" s="118"/>
      <c r="C112" s="118"/>
      <c r="D112" s="1" t="s">
        <v>28</v>
      </c>
      <c r="E112" s="13">
        <f t="shared" ref="E112:E114" ca="1" si="54">IFERROR(INDIRECT("'CO5K'!" &amp; K112 &amp; $E$125),"")</f>
        <v>18</v>
      </c>
      <c r="F112" s="13">
        <f t="shared" ref="F112:F114" ca="1" si="55">IFERROR(INDIRECT("'CO5K'!" &amp; K112 &amp; $F$125),"")</f>
        <v>23</v>
      </c>
      <c r="G112" s="13">
        <f t="shared" ref="G112:G114" ca="1" si="56">IFERROR(INDIRECT("'CO5K'!" &amp; K112 &amp; $G$125),"")</f>
        <v>57</v>
      </c>
      <c r="H112" s="13">
        <f t="shared" ref="H112:H114" ca="1" si="57">IFERROR(INDIRECT("'CO5K'!" &amp; L112 &amp; $H$85),"")</f>
        <v>57</v>
      </c>
      <c r="I112" s="42">
        <f t="shared" ref="I112:I114" ca="1" si="58">IFERROR(H112/G112*100,"")</f>
        <v>100</v>
      </c>
      <c r="J112" s="42">
        <f t="shared" ref="J112:J114" ca="1" si="59">IFERROR(INDIRECT("'CO5K'!" &amp; L112 &amp; $J$125)/G112*100,"")</f>
        <v>100</v>
      </c>
      <c r="K112" s="58" t="s">
        <v>294</v>
      </c>
      <c r="L112" s="58" t="s">
        <v>294</v>
      </c>
    </row>
    <row r="113" spans="1:12" ht="15.6" x14ac:dyDescent="0.3">
      <c r="A113" s="118"/>
      <c r="B113" s="118"/>
      <c r="C113" s="118"/>
      <c r="D113" s="1" t="s">
        <v>27</v>
      </c>
      <c r="E113" s="13">
        <f t="shared" ca="1" si="54"/>
        <v>22</v>
      </c>
      <c r="F113" s="13">
        <f t="shared" ca="1" si="55"/>
        <v>23</v>
      </c>
      <c r="G113" s="13">
        <f t="shared" ca="1" si="56"/>
        <v>57</v>
      </c>
      <c r="H113" s="13">
        <f t="shared" ca="1" si="57"/>
        <v>57</v>
      </c>
      <c r="I113" s="42">
        <f t="shared" ca="1" si="58"/>
        <v>100</v>
      </c>
      <c r="J113" s="42">
        <f t="shared" ca="1" si="59"/>
        <v>100</v>
      </c>
      <c r="K113" s="58" t="s">
        <v>279</v>
      </c>
      <c r="L113" s="58" t="s">
        <v>279</v>
      </c>
    </row>
    <row r="114" spans="1:12" ht="15.6" x14ac:dyDescent="0.3">
      <c r="A114" s="119"/>
      <c r="B114" s="119"/>
      <c r="C114" s="119"/>
      <c r="D114" s="1" t="s">
        <v>6</v>
      </c>
      <c r="E114" s="13">
        <f t="shared" ca="1" si="54"/>
        <v>22</v>
      </c>
      <c r="F114" s="13">
        <f t="shared" ca="1" si="55"/>
        <v>23</v>
      </c>
      <c r="G114" s="13">
        <f t="shared" ca="1" si="56"/>
        <v>57</v>
      </c>
      <c r="H114" s="13">
        <f t="shared" ca="1" si="57"/>
        <v>57</v>
      </c>
      <c r="I114" s="42">
        <f t="shared" ca="1" si="58"/>
        <v>100</v>
      </c>
      <c r="J114" s="42">
        <f t="shared" ca="1" si="59"/>
        <v>100</v>
      </c>
      <c r="K114" s="58" t="s">
        <v>8</v>
      </c>
      <c r="L114" s="58" t="s">
        <v>8</v>
      </c>
    </row>
    <row r="115" spans="1:12" ht="15.6" x14ac:dyDescent="0.3">
      <c r="A115" s="117">
        <v>5</v>
      </c>
      <c r="B115" s="117">
        <v>315004</v>
      </c>
      <c r="C115" s="117" t="s">
        <v>33</v>
      </c>
      <c r="D115" s="1" t="s">
        <v>25</v>
      </c>
      <c r="E115" s="13" t="s">
        <v>262</v>
      </c>
      <c r="F115" s="13" t="s">
        <v>262</v>
      </c>
      <c r="G115" s="13" t="s">
        <v>262</v>
      </c>
      <c r="H115" s="13" t="s">
        <v>262</v>
      </c>
      <c r="I115" s="42" t="s">
        <v>262</v>
      </c>
      <c r="J115" s="42" t="s">
        <v>262</v>
      </c>
    </row>
    <row r="116" spans="1:12" ht="15.6" x14ac:dyDescent="0.3">
      <c r="A116" s="118"/>
      <c r="B116" s="118"/>
      <c r="C116" s="118"/>
      <c r="D116" s="1" t="s">
        <v>24</v>
      </c>
      <c r="E116" s="13" t="s">
        <v>262</v>
      </c>
      <c r="F116" s="13" t="s">
        <v>262</v>
      </c>
      <c r="G116" s="13" t="s">
        <v>262</v>
      </c>
      <c r="H116" s="13" t="s">
        <v>262</v>
      </c>
      <c r="I116" s="42" t="s">
        <v>262</v>
      </c>
      <c r="J116" s="42" t="s">
        <v>262</v>
      </c>
    </row>
    <row r="117" spans="1:12" ht="15.6" x14ac:dyDescent="0.3">
      <c r="A117" s="118"/>
      <c r="B117" s="118"/>
      <c r="C117" s="118"/>
      <c r="D117" s="1" t="s">
        <v>28</v>
      </c>
      <c r="E117" s="13">
        <f t="shared" ref="E117:E118" ca="1" si="60">IFERROR(INDIRECT("'CO5K'!" &amp; K117 &amp; $E$125),"")</f>
        <v>81</v>
      </c>
      <c r="F117" s="13">
        <f t="shared" ref="F117:F118" ca="1" si="61">IFERROR(INDIRECT("'CO5K'!" &amp; K117 &amp; $F$125),"")</f>
        <v>97</v>
      </c>
      <c r="G117" s="13">
        <f t="shared" ref="G117:G118" ca="1" si="62">IFERROR(INDIRECT("'CO5K'!" &amp; K117 &amp; $G$125),"")</f>
        <v>57</v>
      </c>
      <c r="H117" s="13">
        <f t="shared" ref="H117:H118" ca="1" si="63">IFERROR(INDIRECT("'CO5K'!" &amp; L117 &amp; $H$85),"")</f>
        <v>57</v>
      </c>
      <c r="I117" s="42">
        <f t="shared" ref="I117:I118" ca="1" si="64">IFERROR(H117/G117*100,"")</f>
        <v>100</v>
      </c>
      <c r="J117" s="42">
        <f t="shared" ref="J117:J118" ca="1" si="65">IFERROR(INDIRECT("'CO5K'!" &amp; L117 &amp; $J$125)/G117*100,"")</f>
        <v>100</v>
      </c>
      <c r="K117" s="58" t="s">
        <v>290</v>
      </c>
      <c r="L117" s="58" t="s">
        <v>290</v>
      </c>
    </row>
    <row r="118" spans="1:12" ht="15.6" x14ac:dyDescent="0.3">
      <c r="A118" s="118"/>
      <c r="B118" s="118"/>
      <c r="C118" s="118"/>
      <c r="D118" s="1" t="s">
        <v>27</v>
      </c>
      <c r="E118" s="13">
        <f t="shared" ca="1" si="60"/>
        <v>84</v>
      </c>
      <c r="F118" s="13">
        <f t="shared" ca="1" si="61"/>
        <v>97</v>
      </c>
      <c r="G118" s="13">
        <f t="shared" ca="1" si="62"/>
        <v>57</v>
      </c>
      <c r="H118" s="13">
        <f t="shared" ca="1" si="63"/>
        <v>57</v>
      </c>
      <c r="I118" s="42">
        <f t="shared" ca="1" si="64"/>
        <v>100</v>
      </c>
      <c r="J118" s="42">
        <f t="shared" ca="1" si="65"/>
        <v>100</v>
      </c>
      <c r="K118" s="58" t="s">
        <v>274</v>
      </c>
      <c r="L118" s="58" t="s">
        <v>274</v>
      </c>
    </row>
    <row r="119" spans="1:12" ht="15.6" x14ac:dyDescent="0.3">
      <c r="A119" s="119"/>
      <c r="B119" s="119"/>
      <c r="C119" s="119"/>
      <c r="D119" s="1" t="s">
        <v>6</v>
      </c>
      <c r="E119" s="13" t="s">
        <v>262</v>
      </c>
      <c r="F119" s="13" t="s">
        <v>262</v>
      </c>
      <c r="G119" s="13" t="s">
        <v>262</v>
      </c>
      <c r="H119" s="13" t="s">
        <v>262</v>
      </c>
      <c r="I119" s="42" t="s">
        <v>262</v>
      </c>
      <c r="J119" s="42" t="s">
        <v>262</v>
      </c>
    </row>
    <row r="120" spans="1:12" ht="15.6" x14ac:dyDescent="0.3">
      <c r="A120" s="117">
        <v>6</v>
      </c>
      <c r="B120" s="117">
        <v>315321</v>
      </c>
      <c r="C120" s="120" t="s">
        <v>288</v>
      </c>
      <c r="D120" s="1" t="s">
        <v>25</v>
      </c>
      <c r="E120" s="13">
        <f t="shared" ref="E120:E123" ca="1" si="66">IFERROR(INDIRECT("'CO5K'!" &amp; K120 &amp; $E$125),"")</f>
        <v>11</v>
      </c>
      <c r="F120" s="13">
        <f t="shared" ref="F120:F123" ca="1" si="67">IFERROR(INDIRECT("'CO5K'!" &amp; K120 &amp; $F$125),"")</f>
        <v>30</v>
      </c>
      <c r="G120" s="13">
        <f t="shared" ref="G120:G123" ca="1" si="68">IFERROR(INDIRECT("'CO5K'!" &amp; K120 &amp; $G$125),"")</f>
        <v>57</v>
      </c>
      <c r="H120" s="13">
        <f t="shared" ref="H120:H123" ca="1" si="69">IFERROR(INDIRECT("'CO5K'!" &amp; L120 &amp; $H$85),"")</f>
        <v>42</v>
      </c>
      <c r="I120" s="42">
        <f t="shared" ref="I120:I123" ca="1" si="70">IFERROR(H120/G120*100,"")</f>
        <v>73.68421052631578</v>
      </c>
      <c r="J120" s="42">
        <f t="shared" ref="J120:J123" ca="1" si="71">IFERROR(INDIRECT("'CO5K'!" &amp; L120 &amp; $J$125)/G120*100,"")</f>
        <v>73.68421052631578</v>
      </c>
      <c r="K120" s="58" t="s">
        <v>275</v>
      </c>
      <c r="L120" s="58" t="s">
        <v>277</v>
      </c>
    </row>
    <row r="121" spans="1:12" ht="15.6" x14ac:dyDescent="0.3">
      <c r="A121" s="118"/>
      <c r="B121" s="118"/>
      <c r="C121" s="121"/>
      <c r="D121" s="1" t="s">
        <v>24</v>
      </c>
      <c r="E121" s="13">
        <f t="shared" ca="1" si="66"/>
        <v>0</v>
      </c>
      <c r="F121" s="13">
        <f t="shared" ca="1" si="67"/>
        <v>69</v>
      </c>
      <c r="G121" s="13">
        <f t="shared" ca="1" si="68"/>
        <v>57</v>
      </c>
      <c r="H121" s="13">
        <f t="shared" ca="1" si="69"/>
        <v>42</v>
      </c>
      <c r="I121" s="42">
        <f t="shared" ca="1" si="70"/>
        <v>73.68421052631578</v>
      </c>
      <c r="J121" s="42">
        <f t="shared" ca="1" si="71"/>
        <v>73.68421052631578</v>
      </c>
      <c r="K121" s="58" t="s">
        <v>291</v>
      </c>
      <c r="L121" s="58" t="s">
        <v>277</v>
      </c>
    </row>
    <row r="122" spans="1:12" ht="15.6" x14ac:dyDescent="0.3">
      <c r="A122" s="118"/>
      <c r="B122" s="118"/>
      <c r="C122" s="121"/>
      <c r="D122" s="1" t="s">
        <v>28</v>
      </c>
      <c r="E122" s="13">
        <f t="shared" ca="1" si="66"/>
        <v>20</v>
      </c>
      <c r="F122" s="13">
        <f t="shared" ca="1" si="67"/>
        <v>23</v>
      </c>
      <c r="G122" s="13">
        <f t="shared" ca="1" si="68"/>
        <v>57</v>
      </c>
      <c r="H122" s="13">
        <f t="shared" ca="1" si="69"/>
        <v>57</v>
      </c>
      <c r="I122" s="42">
        <f t="shared" ca="1" si="70"/>
        <v>100</v>
      </c>
      <c r="J122" s="42">
        <f t="shared" ca="1" si="71"/>
        <v>100</v>
      </c>
      <c r="K122" s="58" t="s">
        <v>292</v>
      </c>
      <c r="L122" s="58" t="s">
        <v>292</v>
      </c>
    </row>
    <row r="123" spans="1:12" ht="15.6" x14ac:dyDescent="0.3">
      <c r="A123" s="118"/>
      <c r="B123" s="118"/>
      <c r="C123" s="121"/>
      <c r="D123" s="1" t="s">
        <v>27</v>
      </c>
      <c r="E123" s="13">
        <f t="shared" ca="1" si="66"/>
        <v>20</v>
      </c>
      <c r="F123" s="13">
        <f t="shared" ca="1" si="67"/>
        <v>23</v>
      </c>
      <c r="G123" s="13">
        <f t="shared" ca="1" si="68"/>
        <v>57</v>
      </c>
      <c r="H123" s="13">
        <f t="shared" ca="1" si="69"/>
        <v>57</v>
      </c>
      <c r="I123" s="42">
        <f t="shared" ca="1" si="70"/>
        <v>100</v>
      </c>
      <c r="J123" s="42">
        <f t="shared" ca="1" si="71"/>
        <v>100</v>
      </c>
      <c r="K123" s="58" t="s">
        <v>278</v>
      </c>
      <c r="L123" s="58" t="s">
        <v>278</v>
      </c>
    </row>
    <row r="124" spans="1:12" ht="15.6" x14ac:dyDescent="0.3">
      <c r="A124" s="119"/>
      <c r="B124" s="119"/>
      <c r="C124" s="122"/>
      <c r="D124" s="1" t="s">
        <v>6</v>
      </c>
      <c r="E124" s="13" t="s">
        <v>262</v>
      </c>
      <c r="F124" s="13" t="s">
        <v>262</v>
      </c>
      <c r="G124" s="13" t="s">
        <v>262</v>
      </c>
      <c r="H124" s="13" t="s">
        <v>262</v>
      </c>
      <c r="I124" s="42" t="s">
        <v>262</v>
      </c>
      <c r="J124" s="42" t="s">
        <v>262</v>
      </c>
    </row>
    <row r="125" spans="1:12" ht="15.6" x14ac:dyDescent="0.3">
      <c r="A125" s="49"/>
      <c r="B125" s="4"/>
      <c r="C125" s="4"/>
      <c r="D125" s="3"/>
      <c r="E125" s="37">
        <v>80</v>
      </c>
      <c r="F125" s="37">
        <v>81</v>
      </c>
      <c r="G125" s="37">
        <v>82</v>
      </c>
      <c r="H125" s="37">
        <v>83</v>
      </c>
      <c r="I125" s="37"/>
      <c r="J125" s="37">
        <v>84</v>
      </c>
    </row>
    <row r="126" spans="1:12" ht="15.6" x14ac:dyDescent="0.3">
      <c r="A126" s="49"/>
      <c r="B126" s="4"/>
      <c r="C126" s="4"/>
      <c r="D126" s="3"/>
      <c r="E126" s="4"/>
      <c r="F126" s="4"/>
      <c r="G126" s="4"/>
      <c r="H126" s="4"/>
      <c r="I126" s="50"/>
      <c r="J126" s="4"/>
    </row>
    <row r="127" spans="1:12" ht="15.6" x14ac:dyDescent="0.3">
      <c r="A127" s="49"/>
      <c r="B127" s="4"/>
      <c r="C127" s="4"/>
      <c r="D127" s="3"/>
      <c r="E127" s="4"/>
      <c r="F127" s="4"/>
      <c r="G127" s="4"/>
      <c r="H127" s="4"/>
      <c r="I127" s="50"/>
      <c r="J127" s="4"/>
    </row>
    <row r="128" spans="1:12" ht="15.6" x14ac:dyDescent="0.3">
      <c r="A128" s="49"/>
      <c r="B128" s="4"/>
      <c r="C128" s="4"/>
      <c r="D128" s="3"/>
      <c r="E128" s="4"/>
      <c r="F128" s="4"/>
      <c r="G128" s="4"/>
      <c r="H128" s="4"/>
      <c r="I128" s="50"/>
      <c r="J128" s="4"/>
    </row>
    <row r="129" spans="1:10" ht="15.6" x14ac:dyDescent="0.3">
      <c r="A129" s="49"/>
      <c r="B129" s="4"/>
      <c r="C129" s="4"/>
      <c r="D129" s="3"/>
      <c r="E129" s="4"/>
      <c r="F129" s="4"/>
      <c r="G129" s="4"/>
      <c r="H129" s="4"/>
      <c r="I129" s="50"/>
      <c r="J129" s="4"/>
    </row>
    <row r="131" spans="1:10" ht="15.6" x14ac:dyDescent="0.3">
      <c r="A131" s="115" t="s">
        <v>281</v>
      </c>
      <c r="B131" s="115"/>
      <c r="C131" s="115"/>
      <c r="D131" s="115"/>
      <c r="E131" s="115"/>
      <c r="F131" s="37"/>
      <c r="G131" s="116" t="s">
        <v>282</v>
      </c>
      <c r="H131" s="116"/>
      <c r="I131" s="116"/>
      <c r="J131" s="116"/>
    </row>
    <row r="132" spans="1:10" ht="15.6" x14ac:dyDescent="0.3">
      <c r="A132" s="115" t="s">
        <v>283</v>
      </c>
      <c r="B132" s="115"/>
      <c r="C132" s="115"/>
      <c r="D132" s="115"/>
      <c r="E132" s="115"/>
      <c r="F132" s="37"/>
      <c r="G132" s="116" t="s">
        <v>284</v>
      </c>
      <c r="H132" s="116"/>
      <c r="I132" s="116"/>
      <c r="J132" s="116"/>
    </row>
  </sheetData>
  <mergeCells count="93">
    <mergeCell ref="A12:A16"/>
    <mergeCell ref="B12:B16"/>
    <mergeCell ref="C12:C16"/>
    <mergeCell ref="A1:I1"/>
    <mergeCell ref="A2:I2"/>
    <mergeCell ref="A3:C3"/>
    <mergeCell ref="D3:I3"/>
    <mergeCell ref="A4:D4"/>
    <mergeCell ref="E4:G4"/>
    <mergeCell ref="E5:F5"/>
    <mergeCell ref="H5:I5"/>
    <mergeCell ref="A7:A11"/>
    <mergeCell ref="B7:B11"/>
    <mergeCell ref="C7:C11"/>
    <mergeCell ref="A17:A21"/>
    <mergeCell ref="B17:B21"/>
    <mergeCell ref="C17:C21"/>
    <mergeCell ref="A22:A26"/>
    <mergeCell ref="B22:B26"/>
    <mergeCell ref="C22:C26"/>
    <mergeCell ref="A44:E44"/>
    <mergeCell ref="G44:J44"/>
    <mergeCell ref="A27:A31"/>
    <mergeCell ref="B27:B31"/>
    <mergeCell ref="C27:C31"/>
    <mergeCell ref="A32:A36"/>
    <mergeCell ref="B32:B36"/>
    <mergeCell ref="C32:C36"/>
    <mergeCell ref="A37:A41"/>
    <mergeCell ref="B37:B41"/>
    <mergeCell ref="C37:C41"/>
    <mergeCell ref="A43:E43"/>
    <mergeCell ref="G43:J43"/>
    <mergeCell ref="A60:A64"/>
    <mergeCell ref="B60:B64"/>
    <mergeCell ref="C60:C64"/>
    <mergeCell ref="A46:I46"/>
    <mergeCell ref="A47:I47"/>
    <mergeCell ref="A49:C49"/>
    <mergeCell ref="D49:I49"/>
    <mergeCell ref="A50:D50"/>
    <mergeCell ref="E50:G50"/>
    <mergeCell ref="E52:F52"/>
    <mergeCell ref="H52:I52"/>
    <mergeCell ref="A55:A59"/>
    <mergeCell ref="B55:B59"/>
    <mergeCell ref="C55:C59"/>
    <mergeCell ref="A65:A69"/>
    <mergeCell ref="B65:B69"/>
    <mergeCell ref="C65:C69"/>
    <mergeCell ref="A70:A74"/>
    <mergeCell ref="B70:B74"/>
    <mergeCell ref="C70:C74"/>
    <mergeCell ref="A90:I90"/>
    <mergeCell ref="A75:A79"/>
    <mergeCell ref="B75:B79"/>
    <mergeCell ref="C75:C79"/>
    <mergeCell ref="A80:A84"/>
    <mergeCell ref="B80:B84"/>
    <mergeCell ref="C80:C84"/>
    <mergeCell ref="A87:E87"/>
    <mergeCell ref="G87:J87"/>
    <mergeCell ref="A88:E88"/>
    <mergeCell ref="G88:J88"/>
    <mergeCell ref="A89:I89"/>
    <mergeCell ref="A91:C91"/>
    <mergeCell ref="D91:I91"/>
    <mergeCell ref="A92:D92"/>
    <mergeCell ref="E92:G92"/>
    <mergeCell ref="E93:F93"/>
    <mergeCell ref="H93:I93"/>
    <mergeCell ref="A95:A99"/>
    <mergeCell ref="B95:B99"/>
    <mergeCell ref="C95:C99"/>
    <mergeCell ref="A100:A104"/>
    <mergeCell ref="B100:B104"/>
    <mergeCell ref="C100:C104"/>
    <mergeCell ref="A105:A109"/>
    <mergeCell ref="B105:B109"/>
    <mergeCell ref="C105:C109"/>
    <mergeCell ref="A110:A114"/>
    <mergeCell ref="B110:B114"/>
    <mergeCell ref="C110:C114"/>
    <mergeCell ref="A131:E131"/>
    <mergeCell ref="G131:J131"/>
    <mergeCell ref="A132:E132"/>
    <mergeCell ref="G132:J132"/>
    <mergeCell ref="A115:A119"/>
    <mergeCell ref="B115:B119"/>
    <mergeCell ref="C115:C119"/>
    <mergeCell ref="A120:A124"/>
    <mergeCell ref="B120:B124"/>
    <mergeCell ref="C120:C1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H10" sqref="H10"/>
    </sheetView>
  </sheetViews>
  <sheetFormatPr defaultRowHeight="14.4" x14ac:dyDescent="0.3"/>
  <cols>
    <col min="2" max="2" width="15.44140625" customWidth="1"/>
    <col min="3" max="3" width="9.6640625" bestFit="1" customWidth="1"/>
    <col min="4" max="4" width="9.44140625" customWidth="1"/>
    <col min="6" max="6" width="9.6640625" bestFit="1" customWidth="1"/>
    <col min="7" max="7" width="10.109375" bestFit="1" customWidth="1"/>
    <col min="8" max="8" width="13" customWidth="1"/>
  </cols>
  <sheetData>
    <row r="1" spans="1:11" ht="18" x14ac:dyDescent="0.35">
      <c r="A1" s="59"/>
      <c r="B1" s="124" t="s">
        <v>295</v>
      </c>
      <c r="C1" s="124"/>
      <c r="D1" s="124"/>
      <c r="E1" s="124"/>
      <c r="F1" s="124"/>
      <c r="G1" s="124"/>
      <c r="H1" s="124"/>
      <c r="I1">
        <v>85</v>
      </c>
      <c r="J1">
        <v>86</v>
      </c>
    </row>
    <row r="2" spans="1:11" ht="18" x14ac:dyDescent="0.35">
      <c r="A2" s="59"/>
      <c r="B2" s="60"/>
      <c r="C2" s="60"/>
      <c r="D2" s="60"/>
      <c r="E2" s="60"/>
      <c r="F2" s="60"/>
      <c r="G2" s="60"/>
      <c r="H2" s="60"/>
    </row>
    <row r="3" spans="1:11" x14ac:dyDescent="0.3">
      <c r="A3" s="125" t="s">
        <v>296</v>
      </c>
      <c r="B3" s="125"/>
      <c r="C3" s="126" t="s">
        <v>297</v>
      </c>
      <c r="D3" s="126"/>
      <c r="E3" s="126"/>
      <c r="F3" s="126"/>
      <c r="G3" s="126"/>
      <c r="H3" s="38"/>
    </row>
    <row r="4" spans="1:11" x14ac:dyDescent="0.3">
      <c r="A4" s="125" t="s">
        <v>298</v>
      </c>
      <c r="B4" s="125"/>
      <c r="C4" s="126" t="s">
        <v>299</v>
      </c>
      <c r="D4" s="126"/>
      <c r="E4" s="126"/>
      <c r="F4" s="47"/>
      <c r="G4" s="38"/>
      <c r="H4" s="48"/>
    </row>
    <row r="6" spans="1:11" ht="55.8" x14ac:dyDescent="0.3">
      <c r="A6" s="61" t="s">
        <v>256</v>
      </c>
      <c r="B6" s="39" t="s">
        <v>300</v>
      </c>
      <c r="C6" s="136" t="s">
        <v>301</v>
      </c>
      <c r="D6" s="137"/>
      <c r="E6" s="136" t="s">
        <v>302</v>
      </c>
      <c r="F6" s="137"/>
      <c r="G6" s="62" t="s">
        <v>303</v>
      </c>
      <c r="H6" s="39" t="s">
        <v>304</v>
      </c>
    </row>
    <row r="7" spans="1:11" ht="25.5" customHeight="1" x14ac:dyDescent="0.3">
      <c r="A7" s="61"/>
      <c r="B7" s="39"/>
      <c r="C7" s="39" t="s">
        <v>316</v>
      </c>
      <c r="D7" s="39" t="s">
        <v>305</v>
      </c>
      <c r="E7" s="39" t="s">
        <v>316</v>
      </c>
      <c r="F7" s="39" t="s">
        <v>305</v>
      </c>
      <c r="G7" s="62"/>
      <c r="H7" s="39"/>
      <c r="I7" s="64" t="s">
        <v>317</v>
      </c>
      <c r="J7" s="64" t="s">
        <v>318</v>
      </c>
      <c r="K7" s="64" t="s">
        <v>320</v>
      </c>
    </row>
    <row r="8" spans="1:11" ht="15.6" x14ac:dyDescent="0.3">
      <c r="A8" s="63">
        <v>1</v>
      </c>
      <c r="B8" s="63" t="s">
        <v>306</v>
      </c>
      <c r="C8" s="63">
        <f ca="1">IFERROR(INDIRECT("'" &amp; K8 &amp; "'!" &amp; I8 &amp; $I$1),"")</f>
        <v>1340</v>
      </c>
      <c r="D8" s="65">
        <f ca="1">IFERROR(C8/INDIRECT("'" &amp; K8 &amp; "'!" &amp; I8 &amp; $J$1)*100,"")</f>
        <v>67.676767676767682</v>
      </c>
      <c r="E8" s="63">
        <f ca="1">IFERROR(INDIRECT("'" &amp; K8 &amp; "'!" &amp; J8 &amp; $I$1),"")</f>
        <v>3290</v>
      </c>
      <c r="F8" s="65">
        <f ca="1">IFERROR(E8/INDIRECT("'" &amp; K8 &amp; "'!" &amp; J8 &amp; $J$1)*100,"")</f>
        <v>73.4375</v>
      </c>
      <c r="G8" s="65">
        <f ca="1">IFERROR(D8-F8,"")</f>
        <v>-5.7607323232323182</v>
      </c>
      <c r="H8" s="63" t="str">
        <f ca="1">IF(G8&gt;=20,"Explanation","")</f>
        <v/>
      </c>
      <c r="I8" t="s">
        <v>259</v>
      </c>
      <c r="J8" t="s">
        <v>261</v>
      </c>
      <c r="K8" s="64" t="s">
        <v>320</v>
      </c>
    </row>
    <row r="9" spans="1:11" ht="15.6" x14ac:dyDescent="0.3">
      <c r="A9" s="63">
        <v>2</v>
      </c>
      <c r="B9" s="63" t="s">
        <v>307</v>
      </c>
      <c r="C9" s="63">
        <f t="shared" ref="C9:C17" ca="1" si="0">IFERROR(INDIRECT("'" &amp; K9 &amp; "'!" &amp; I9 &amp; $I$1),"")</f>
        <v>1462</v>
      </c>
      <c r="D9" s="65">
        <f t="shared" ref="D9:D17" ca="1" si="1">IFERROR(C9/INDIRECT("'" &amp; K9 &amp; "'!" &amp; I9 &amp; $J$1)*100,"")</f>
        <v>72.736318407960198</v>
      </c>
      <c r="E9" s="63">
        <f t="shared" ref="E9:E17" ca="1" si="2">IFERROR(INDIRECT("'" &amp; K9 &amp; "'!" &amp; J9 &amp; $I$1),"")</f>
        <v>2904</v>
      </c>
      <c r="F9" s="65">
        <f t="shared" ref="F9:F17" ca="1" si="3">IFERROR(E9/INDIRECT("'" &amp; K9 &amp; "'!" &amp; J9 &amp; $J$1)*100,"")</f>
        <v>63.824175824175825</v>
      </c>
      <c r="G9" s="65">
        <f t="shared" ref="G9:G17" ca="1" si="4">IFERROR(D9-F9,"")</f>
        <v>8.9121425837843731</v>
      </c>
      <c r="H9" s="63" t="str">
        <f t="shared" ref="H9:H17" ca="1" si="5">IF(G9&gt;=20,"Explanation","")</f>
        <v/>
      </c>
      <c r="I9" s="58" t="s">
        <v>323</v>
      </c>
      <c r="J9" s="58" t="s">
        <v>324</v>
      </c>
      <c r="K9" s="64" t="s">
        <v>320</v>
      </c>
    </row>
    <row r="10" spans="1:11" ht="15.6" x14ac:dyDescent="0.3">
      <c r="A10" s="63">
        <v>3</v>
      </c>
      <c r="B10" s="63" t="s">
        <v>308</v>
      </c>
      <c r="C10" s="63">
        <f t="shared" ca="1" si="0"/>
        <v>1692</v>
      </c>
      <c r="D10" s="65">
        <f t="shared" ca="1" si="1"/>
        <v>89.523809523809533</v>
      </c>
      <c r="E10" s="63">
        <f t="shared" ca="1" si="2"/>
        <v>1539</v>
      </c>
      <c r="F10" s="65">
        <f t="shared" ca="1" si="3"/>
        <v>35.460829493087559</v>
      </c>
      <c r="G10" s="65">
        <f t="shared" ca="1" si="4"/>
        <v>54.062980030721974</v>
      </c>
      <c r="H10" s="63" t="str">
        <f t="shared" ca="1" si="5"/>
        <v>Explanation</v>
      </c>
      <c r="I10" t="s">
        <v>268</v>
      </c>
      <c r="J10" t="s">
        <v>270</v>
      </c>
      <c r="K10" s="64" t="s">
        <v>320</v>
      </c>
    </row>
    <row r="11" spans="1:11" ht="15.6" x14ac:dyDescent="0.3">
      <c r="A11" s="63">
        <v>4</v>
      </c>
      <c r="B11" s="1" t="s">
        <v>309</v>
      </c>
      <c r="C11" s="63">
        <f t="shared" ca="1" si="0"/>
        <v>1237</v>
      </c>
      <c r="D11" s="65">
        <f t="shared" ca="1" si="1"/>
        <v>61.542288557213929</v>
      </c>
      <c r="E11" s="63">
        <f t="shared" ca="1" si="2"/>
        <v>3261</v>
      </c>
      <c r="F11" s="65">
        <f t="shared" ca="1" si="3"/>
        <v>69.530916844349676</v>
      </c>
      <c r="G11" s="65">
        <f t="shared" ca="1" si="4"/>
        <v>-7.9886282871357466</v>
      </c>
      <c r="H11" s="63" t="str">
        <f t="shared" ca="1" si="5"/>
        <v/>
      </c>
      <c r="I11" t="s">
        <v>259</v>
      </c>
      <c r="J11" t="s">
        <v>261</v>
      </c>
      <c r="K11" s="64" t="s">
        <v>321</v>
      </c>
    </row>
    <row r="12" spans="1:11" ht="15.6" x14ac:dyDescent="0.3">
      <c r="A12" s="63">
        <v>5</v>
      </c>
      <c r="B12" s="1" t="s">
        <v>310</v>
      </c>
      <c r="C12" s="63">
        <f t="shared" ca="1" si="0"/>
        <v>1188</v>
      </c>
      <c r="D12" s="65">
        <f t="shared" ca="1" si="1"/>
        <v>59.104477611940297</v>
      </c>
      <c r="E12" s="63">
        <f t="shared" ca="1" si="2"/>
        <v>2411</v>
      </c>
      <c r="F12" s="65">
        <f t="shared" ca="1" si="3"/>
        <v>51.407249466950958</v>
      </c>
      <c r="G12" s="65">
        <f t="shared" ca="1" si="4"/>
        <v>7.6972281449893387</v>
      </c>
      <c r="H12" s="63" t="str">
        <f t="shared" ca="1" si="5"/>
        <v/>
      </c>
      <c r="I12" t="s">
        <v>272</v>
      </c>
      <c r="J12" t="s">
        <v>269</v>
      </c>
      <c r="K12" s="64" t="s">
        <v>321</v>
      </c>
    </row>
    <row r="13" spans="1:11" ht="15.6" x14ac:dyDescent="0.3">
      <c r="A13" s="63">
        <v>6</v>
      </c>
      <c r="B13" s="1" t="s">
        <v>311</v>
      </c>
      <c r="C13" s="63">
        <f t="shared" ca="1" si="0"/>
        <v>1113</v>
      </c>
      <c r="D13" s="65">
        <f t="shared" ca="1" si="1"/>
        <v>54.558823529411761</v>
      </c>
      <c r="E13" s="63">
        <f t="shared" ca="1" si="2"/>
        <v>2128</v>
      </c>
      <c r="F13" s="65">
        <f t="shared" ca="1" si="3"/>
        <v>45.373134328358212</v>
      </c>
      <c r="G13" s="65">
        <f t="shared" ca="1" si="4"/>
        <v>9.1856892010535489</v>
      </c>
      <c r="H13" s="63" t="str">
        <f t="shared" ca="1" si="5"/>
        <v/>
      </c>
      <c r="I13" t="s">
        <v>266</v>
      </c>
      <c r="J13" t="s">
        <v>7</v>
      </c>
      <c r="K13" s="64" t="s">
        <v>321</v>
      </c>
    </row>
    <row r="14" spans="1:11" ht="15.6" x14ac:dyDescent="0.3">
      <c r="A14" s="63">
        <v>7</v>
      </c>
      <c r="B14" s="1" t="s">
        <v>312</v>
      </c>
      <c r="C14" s="63">
        <f t="shared" ca="1" si="0"/>
        <v>957</v>
      </c>
      <c r="D14" s="65">
        <f t="shared" ca="1" si="1"/>
        <v>47.611940298507463</v>
      </c>
      <c r="E14" s="63">
        <f t="shared" ca="1" si="2"/>
        <v>2395</v>
      </c>
      <c r="F14" s="65">
        <f t="shared" ca="1" si="3"/>
        <v>51.066098081023462</v>
      </c>
      <c r="G14" s="65">
        <f t="shared" ca="1" si="4"/>
        <v>-3.454157782515999</v>
      </c>
      <c r="H14" s="63" t="str">
        <f t="shared" ca="1" si="5"/>
        <v/>
      </c>
      <c r="I14" t="s">
        <v>290</v>
      </c>
      <c r="J14" t="s">
        <v>8</v>
      </c>
      <c r="K14" s="64" t="s">
        <v>321</v>
      </c>
    </row>
    <row r="15" spans="1:11" ht="15.6" x14ac:dyDescent="0.3">
      <c r="A15" s="63">
        <v>8</v>
      </c>
      <c r="B15" s="1" t="s">
        <v>313</v>
      </c>
      <c r="C15" s="63">
        <f t="shared" ca="1" si="0"/>
        <v>1257</v>
      </c>
      <c r="D15" s="65">
        <f t="shared" ca="1" si="1"/>
        <v>73.508771929824562</v>
      </c>
      <c r="E15" s="63">
        <f t="shared" ca="1" si="2"/>
        <v>2684</v>
      </c>
      <c r="F15" s="65">
        <f t="shared" ca="1" si="3"/>
        <v>67.268170426065168</v>
      </c>
      <c r="G15" s="65">
        <f t="shared" ca="1" si="4"/>
        <v>6.2406015037593932</v>
      </c>
      <c r="H15" s="63" t="str">
        <f t="shared" ca="1" si="5"/>
        <v/>
      </c>
      <c r="I15" t="s">
        <v>259</v>
      </c>
      <c r="J15" t="s">
        <v>261</v>
      </c>
      <c r="K15" s="64" t="s">
        <v>322</v>
      </c>
    </row>
    <row r="16" spans="1:11" ht="15.6" x14ac:dyDescent="0.3">
      <c r="A16" s="63">
        <v>9</v>
      </c>
      <c r="B16" s="1" t="s">
        <v>314</v>
      </c>
      <c r="C16" s="63">
        <f t="shared" ca="1" si="0"/>
        <v>4529</v>
      </c>
      <c r="D16" s="65">
        <f t="shared" ca="1" si="1"/>
        <v>79.456140350877192</v>
      </c>
      <c r="E16" s="63">
        <f t="shared" ca="1" si="2"/>
        <v>2916</v>
      </c>
      <c r="F16" s="65">
        <f t="shared" ca="1" si="3"/>
        <v>73.082706766917298</v>
      </c>
      <c r="G16" s="65">
        <f t="shared" ca="1" si="4"/>
        <v>6.3734335839598941</v>
      </c>
      <c r="H16" s="63" t="str">
        <f t="shared" ca="1" si="5"/>
        <v/>
      </c>
      <c r="I16" t="s">
        <v>289</v>
      </c>
      <c r="J16" t="s">
        <v>272</v>
      </c>
      <c r="K16" s="64" t="s">
        <v>322</v>
      </c>
    </row>
    <row r="17" spans="1:11" ht="15.6" x14ac:dyDescent="0.3">
      <c r="A17" s="63">
        <v>10</v>
      </c>
      <c r="B17" s="1" t="s">
        <v>315</v>
      </c>
      <c r="C17" s="63">
        <f t="shared" ca="1" si="0"/>
        <v>1177</v>
      </c>
      <c r="D17" s="65">
        <f t="shared" ca="1" si="1"/>
        <v>68.830409356725141</v>
      </c>
      <c r="E17" s="63">
        <f t="shared" ca="1" si="2"/>
        <v>2860</v>
      </c>
      <c r="F17" s="65">
        <f t="shared" ca="1" si="3"/>
        <v>71.679197994987462</v>
      </c>
      <c r="G17" s="65">
        <f t="shared" ca="1" si="4"/>
        <v>-2.8487886382623202</v>
      </c>
      <c r="H17" s="63" t="str">
        <f t="shared" ca="1" si="5"/>
        <v/>
      </c>
      <c r="I17" s="58" t="s">
        <v>275</v>
      </c>
      <c r="J17" s="58" t="s">
        <v>291</v>
      </c>
      <c r="K17" s="64" t="s">
        <v>322</v>
      </c>
    </row>
  </sheetData>
  <mergeCells count="7">
    <mergeCell ref="C6:D6"/>
    <mergeCell ref="E6:F6"/>
    <mergeCell ref="B1:H1"/>
    <mergeCell ref="A3:B3"/>
    <mergeCell ref="C3:G3"/>
    <mergeCell ref="A4:B4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86"/>
  <sheetViews>
    <sheetView tabSelected="1" workbookViewId="0">
      <selection activeCell="AL6" sqref="A1:AL6"/>
    </sheetView>
  </sheetViews>
  <sheetFormatPr defaultColWidth="9.109375" defaultRowHeight="15.6" x14ac:dyDescent="0.3"/>
  <cols>
    <col min="1" max="2" width="9.109375" style="75"/>
    <col min="3" max="3" width="14.5546875" style="75" customWidth="1"/>
    <col min="4" max="4" width="40" style="75" customWidth="1"/>
    <col min="5" max="34" width="7.6640625" style="76" customWidth="1"/>
    <col min="35" max="36" width="9.109375" style="75"/>
    <col min="37" max="37" width="24.5546875" style="102" customWidth="1"/>
    <col min="38" max="16384" width="9.109375" style="75"/>
  </cols>
  <sheetData>
    <row r="1" spans="1:38" x14ac:dyDescent="0.3">
      <c r="A1" s="72"/>
      <c r="B1" s="72"/>
      <c r="C1" s="72"/>
      <c r="D1" s="73" t="s">
        <v>19</v>
      </c>
      <c r="E1" s="72"/>
      <c r="F1" s="72"/>
      <c r="G1" s="72">
        <v>60</v>
      </c>
      <c r="H1" s="72">
        <v>15</v>
      </c>
      <c r="I1" s="72">
        <v>15</v>
      </c>
      <c r="J1" s="72"/>
      <c r="K1" s="72">
        <v>15</v>
      </c>
      <c r="L1" s="72"/>
      <c r="M1" s="72"/>
      <c r="N1" s="72">
        <v>60</v>
      </c>
      <c r="O1" s="72">
        <v>15</v>
      </c>
      <c r="P1" s="72">
        <v>15</v>
      </c>
      <c r="Q1" s="72"/>
      <c r="R1" s="72">
        <v>15</v>
      </c>
      <c r="S1" s="72">
        <v>15</v>
      </c>
      <c r="T1" s="72">
        <v>30</v>
      </c>
      <c r="U1" s="72"/>
      <c r="V1" s="72">
        <v>15</v>
      </c>
      <c r="W1" s="72">
        <v>15</v>
      </c>
      <c r="X1" s="72"/>
      <c r="Y1" s="72">
        <v>15</v>
      </c>
      <c r="Z1" s="72">
        <v>60</v>
      </c>
      <c r="AA1" s="72">
        <v>60</v>
      </c>
      <c r="AB1" s="72"/>
      <c r="AC1" s="72"/>
      <c r="AD1" s="72"/>
      <c r="AE1" s="72">
        <v>60</v>
      </c>
      <c r="AF1" s="72">
        <v>15</v>
      </c>
      <c r="AG1" s="72">
        <v>15</v>
      </c>
      <c r="AH1" s="72"/>
      <c r="AI1" s="72"/>
      <c r="AJ1" s="105"/>
      <c r="AL1" s="77"/>
    </row>
    <row r="2" spans="1:38" x14ac:dyDescent="0.3">
      <c r="A2" s="72"/>
      <c r="B2" s="72"/>
      <c r="C2" s="72"/>
      <c r="D2" s="73" t="s">
        <v>20</v>
      </c>
      <c r="E2" s="72"/>
      <c r="F2" s="72"/>
      <c r="G2" s="72">
        <v>40</v>
      </c>
      <c r="H2" s="72">
        <v>10</v>
      </c>
      <c r="I2" s="72">
        <v>10</v>
      </c>
      <c r="J2" s="72"/>
      <c r="K2" s="72">
        <v>10</v>
      </c>
      <c r="L2" s="72"/>
      <c r="M2" s="72"/>
      <c r="N2" s="72">
        <v>40</v>
      </c>
      <c r="O2" s="72">
        <v>10</v>
      </c>
      <c r="P2" s="72">
        <v>10</v>
      </c>
      <c r="Q2" s="72"/>
      <c r="R2" s="72">
        <v>10</v>
      </c>
      <c r="S2" s="72">
        <v>10</v>
      </c>
      <c r="T2" s="72">
        <v>20</v>
      </c>
      <c r="U2" s="72"/>
      <c r="V2" s="72">
        <v>10</v>
      </c>
      <c r="W2" s="72">
        <v>10</v>
      </c>
      <c r="X2" s="72"/>
      <c r="Y2" s="72">
        <v>10</v>
      </c>
      <c r="Z2" s="72">
        <v>40</v>
      </c>
      <c r="AA2" s="72">
        <v>40</v>
      </c>
      <c r="AB2" s="72"/>
      <c r="AC2" s="72"/>
      <c r="AD2" s="72"/>
      <c r="AE2" s="72">
        <v>40</v>
      </c>
      <c r="AF2" s="72">
        <v>10</v>
      </c>
      <c r="AG2" s="72">
        <v>10</v>
      </c>
      <c r="AH2" s="72"/>
      <c r="AI2" s="72"/>
      <c r="AJ2" s="72"/>
      <c r="AK2" s="103"/>
      <c r="AL2" s="77"/>
    </row>
    <row r="3" spans="1:38" x14ac:dyDescent="0.3">
      <c r="A3" s="72"/>
      <c r="B3" s="72"/>
      <c r="C3" s="72"/>
      <c r="D3" s="73" t="s">
        <v>21</v>
      </c>
      <c r="E3" s="72">
        <v>315319</v>
      </c>
      <c r="F3" s="72">
        <v>315319</v>
      </c>
      <c r="G3" s="72">
        <v>315319</v>
      </c>
      <c r="H3" s="72">
        <v>315319</v>
      </c>
      <c r="I3" s="72">
        <v>315319</v>
      </c>
      <c r="J3" s="72">
        <v>315319</v>
      </c>
      <c r="K3" s="72">
        <v>315319</v>
      </c>
      <c r="L3" s="72">
        <v>315323</v>
      </c>
      <c r="M3" s="72">
        <v>315323</v>
      </c>
      <c r="N3" s="76">
        <v>315323</v>
      </c>
      <c r="O3" s="72">
        <v>315323</v>
      </c>
      <c r="P3" s="72">
        <v>315323</v>
      </c>
      <c r="Q3" s="72">
        <v>313302</v>
      </c>
      <c r="R3" s="72">
        <v>313302</v>
      </c>
      <c r="S3" s="72">
        <v>315002</v>
      </c>
      <c r="T3" s="72">
        <v>315002</v>
      </c>
      <c r="U3" s="72">
        <v>315002</v>
      </c>
      <c r="V3" s="72">
        <v>315003</v>
      </c>
      <c r="W3" s="72">
        <v>315003</v>
      </c>
      <c r="X3" s="72">
        <v>315003</v>
      </c>
      <c r="Y3" s="72">
        <v>315003</v>
      </c>
      <c r="Z3" s="72">
        <v>315004</v>
      </c>
      <c r="AA3" s="72">
        <v>315004</v>
      </c>
      <c r="AB3" s="72">
        <v>315004</v>
      </c>
      <c r="AC3" s="72">
        <v>315321</v>
      </c>
      <c r="AD3" s="72">
        <v>315321</v>
      </c>
      <c r="AE3" s="72">
        <v>315321</v>
      </c>
      <c r="AF3" s="72">
        <v>315321</v>
      </c>
      <c r="AG3" s="72">
        <v>315321</v>
      </c>
      <c r="AH3" s="72">
        <v>315321</v>
      </c>
      <c r="AI3" s="72"/>
      <c r="AJ3" s="72"/>
      <c r="AK3" s="103"/>
      <c r="AL3" s="77"/>
    </row>
    <row r="4" spans="1:38" x14ac:dyDescent="0.3">
      <c r="A4" s="77"/>
      <c r="B4" s="77"/>
      <c r="C4" s="77"/>
      <c r="D4" s="78" t="s">
        <v>22</v>
      </c>
      <c r="E4" s="79" t="s">
        <v>29</v>
      </c>
      <c r="F4" s="79" t="s">
        <v>29</v>
      </c>
      <c r="G4" s="79" t="s">
        <v>29</v>
      </c>
      <c r="H4" s="79" t="s">
        <v>29</v>
      </c>
      <c r="I4" s="79" t="s">
        <v>29</v>
      </c>
      <c r="J4" s="79" t="s">
        <v>29</v>
      </c>
      <c r="K4" s="79" t="s">
        <v>29</v>
      </c>
      <c r="L4" s="79" t="s">
        <v>30</v>
      </c>
      <c r="M4" s="79" t="s">
        <v>30</v>
      </c>
      <c r="N4" s="79" t="s">
        <v>30</v>
      </c>
      <c r="O4" s="79" t="s">
        <v>30</v>
      </c>
      <c r="P4" s="79" t="s">
        <v>30</v>
      </c>
      <c r="Q4" s="79" t="s">
        <v>30</v>
      </c>
      <c r="R4" s="79" t="s">
        <v>30</v>
      </c>
      <c r="S4" s="79" t="s">
        <v>31</v>
      </c>
      <c r="T4" s="79" t="s">
        <v>31</v>
      </c>
      <c r="U4" s="79" t="s">
        <v>31</v>
      </c>
      <c r="V4" s="79" t="s">
        <v>32</v>
      </c>
      <c r="W4" s="79" t="s">
        <v>32</v>
      </c>
      <c r="X4" s="79" t="s">
        <v>32</v>
      </c>
      <c r="Y4" s="79" t="s">
        <v>32</v>
      </c>
      <c r="Z4" s="79" t="s">
        <v>33</v>
      </c>
      <c r="AA4" s="79" t="s">
        <v>33</v>
      </c>
      <c r="AB4" s="79" t="s">
        <v>33</v>
      </c>
      <c r="AC4" s="79" t="s">
        <v>34</v>
      </c>
      <c r="AD4" s="79" t="s">
        <v>34</v>
      </c>
      <c r="AE4" s="79" t="s">
        <v>34</v>
      </c>
      <c r="AF4" s="79" t="s">
        <v>34</v>
      </c>
      <c r="AG4" s="79" t="s">
        <v>34</v>
      </c>
      <c r="AH4" s="79" t="s">
        <v>34</v>
      </c>
      <c r="AI4" s="80"/>
      <c r="AJ4" s="80"/>
      <c r="AK4" s="103"/>
      <c r="AL4" s="77"/>
    </row>
    <row r="5" spans="1:38" x14ac:dyDescent="0.3">
      <c r="A5" s="77"/>
      <c r="B5" s="77"/>
      <c r="C5" s="77"/>
      <c r="D5" s="78" t="s">
        <v>23</v>
      </c>
      <c r="E5" s="43" t="s">
        <v>24</v>
      </c>
      <c r="F5" s="43" t="s">
        <v>25</v>
      </c>
      <c r="G5" s="43" t="s">
        <v>26</v>
      </c>
      <c r="H5" s="43" t="s">
        <v>27</v>
      </c>
      <c r="I5" s="43" t="s">
        <v>28</v>
      </c>
      <c r="J5" s="43" t="s">
        <v>26</v>
      </c>
      <c r="K5" s="43" t="s">
        <v>6</v>
      </c>
      <c r="L5" s="43" t="s">
        <v>24</v>
      </c>
      <c r="M5" s="43" t="s">
        <v>25</v>
      </c>
      <c r="N5" s="43" t="s">
        <v>26</v>
      </c>
      <c r="O5" s="43" t="s">
        <v>27</v>
      </c>
      <c r="P5" s="43" t="s">
        <v>28</v>
      </c>
      <c r="Q5" s="43" t="s">
        <v>26</v>
      </c>
      <c r="R5" s="43" t="s">
        <v>6</v>
      </c>
      <c r="S5" s="43" t="s">
        <v>27</v>
      </c>
      <c r="T5" s="43" t="s">
        <v>28</v>
      </c>
      <c r="U5" s="43" t="s">
        <v>26</v>
      </c>
      <c r="V5" s="43" t="s">
        <v>27</v>
      </c>
      <c r="W5" s="43" t="s">
        <v>28</v>
      </c>
      <c r="X5" s="43" t="s">
        <v>26</v>
      </c>
      <c r="Y5" s="43" t="s">
        <v>6</v>
      </c>
      <c r="Z5" s="43" t="s">
        <v>27</v>
      </c>
      <c r="AA5" s="43" t="s">
        <v>28</v>
      </c>
      <c r="AB5" s="43" t="s">
        <v>26</v>
      </c>
      <c r="AC5" s="43" t="s">
        <v>24</v>
      </c>
      <c r="AD5" s="43" t="s">
        <v>25</v>
      </c>
      <c r="AE5" s="43" t="s">
        <v>26</v>
      </c>
      <c r="AF5" s="43" t="s">
        <v>27</v>
      </c>
      <c r="AG5" s="43" t="s">
        <v>28</v>
      </c>
      <c r="AH5" s="43" t="s">
        <v>26</v>
      </c>
      <c r="AI5" s="80"/>
      <c r="AJ5" s="80"/>
      <c r="AK5" s="103"/>
      <c r="AL5" s="77"/>
    </row>
    <row r="6" spans="1:38" ht="46.8" x14ac:dyDescent="0.3">
      <c r="A6" s="77"/>
      <c r="B6" s="81" t="s">
        <v>16</v>
      </c>
      <c r="C6" s="81" t="s">
        <v>17</v>
      </c>
      <c r="D6" s="77" t="s">
        <v>18</v>
      </c>
      <c r="E6" s="90">
        <v>70</v>
      </c>
      <c r="F6" s="90">
        <v>30</v>
      </c>
      <c r="G6" s="90">
        <v>100</v>
      </c>
      <c r="H6" s="90">
        <v>25</v>
      </c>
      <c r="I6" s="90">
        <v>25</v>
      </c>
      <c r="J6" s="90">
        <v>50</v>
      </c>
      <c r="K6" s="90">
        <v>25</v>
      </c>
      <c r="L6" s="90">
        <v>70</v>
      </c>
      <c r="M6" s="90">
        <v>30</v>
      </c>
      <c r="N6" s="90">
        <v>100</v>
      </c>
      <c r="O6" s="90">
        <v>25</v>
      </c>
      <c r="P6" s="90">
        <v>25</v>
      </c>
      <c r="Q6" s="90">
        <v>50</v>
      </c>
      <c r="R6" s="90">
        <v>25</v>
      </c>
      <c r="S6" s="90">
        <v>25</v>
      </c>
      <c r="T6" s="90">
        <v>50</v>
      </c>
      <c r="U6" s="90">
        <v>75</v>
      </c>
      <c r="V6" s="90">
        <v>25</v>
      </c>
      <c r="W6" s="90">
        <v>25</v>
      </c>
      <c r="X6" s="90">
        <v>50</v>
      </c>
      <c r="Y6" s="90">
        <v>25</v>
      </c>
      <c r="Z6" s="90">
        <v>100</v>
      </c>
      <c r="AA6" s="90">
        <v>100</v>
      </c>
      <c r="AB6" s="90">
        <v>200</v>
      </c>
      <c r="AC6" s="90">
        <v>70</v>
      </c>
      <c r="AD6" s="90">
        <v>30</v>
      </c>
      <c r="AE6" s="90">
        <v>100</v>
      </c>
      <c r="AF6" s="90">
        <v>25</v>
      </c>
      <c r="AG6" s="90">
        <v>25</v>
      </c>
      <c r="AH6" s="90">
        <v>50</v>
      </c>
      <c r="AI6" s="90">
        <f>SUM(G6,J6,K6,N6,Q6,R6,U6,X6,Y6,AB6,AE6,AH6)</f>
        <v>850</v>
      </c>
      <c r="AJ6" s="90"/>
      <c r="AK6" s="103" t="s">
        <v>337</v>
      </c>
      <c r="AL6" s="77" t="s">
        <v>103</v>
      </c>
    </row>
    <row r="7" spans="1:38" x14ac:dyDescent="0.3">
      <c r="A7" s="77">
        <v>1</v>
      </c>
      <c r="B7" s="77">
        <v>265064</v>
      </c>
      <c r="C7" s="77">
        <v>23410260111</v>
      </c>
      <c r="D7" s="87" t="s">
        <v>35</v>
      </c>
      <c r="E7" s="79">
        <v>54</v>
      </c>
      <c r="F7" s="79">
        <v>27</v>
      </c>
      <c r="G7" s="79">
        <f>E7+F7</f>
        <v>81</v>
      </c>
      <c r="H7" s="79">
        <v>23</v>
      </c>
      <c r="I7" s="79">
        <v>23</v>
      </c>
      <c r="J7" s="79">
        <f>H7+I7</f>
        <v>46</v>
      </c>
      <c r="K7" s="79">
        <v>22</v>
      </c>
      <c r="L7" s="79">
        <v>61</v>
      </c>
      <c r="M7" s="79">
        <v>27</v>
      </c>
      <c r="N7" s="79">
        <f>L7+M7</f>
        <v>88</v>
      </c>
      <c r="O7" s="79">
        <v>23</v>
      </c>
      <c r="P7" s="79">
        <v>23</v>
      </c>
      <c r="Q7" s="79">
        <f>O7+P7</f>
        <v>46</v>
      </c>
      <c r="R7" s="79">
        <v>23</v>
      </c>
      <c r="S7" s="79">
        <v>21</v>
      </c>
      <c r="T7" s="79">
        <v>43</v>
      </c>
      <c r="U7" s="79">
        <f>S7+T7</f>
        <v>64</v>
      </c>
      <c r="V7" s="79">
        <v>22</v>
      </c>
      <c r="W7" s="79">
        <v>23</v>
      </c>
      <c r="X7" s="79">
        <f>V7+W7</f>
        <v>45</v>
      </c>
      <c r="Y7" s="79">
        <v>22</v>
      </c>
      <c r="Z7" s="79">
        <v>90</v>
      </c>
      <c r="AA7" s="79">
        <v>90</v>
      </c>
      <c r="AB7" s="79">
        <f>Z7+AA7</f>
        <v>180</v>
      </c>
      <c r="AC7" s="79">
        <v>66</v>
      </c>
      <c r="AD7" s="79">
        <v>26</v>
      </c>
      <c r="AE7" s="79">
        <f>AC7+AD7</f>
        <v>92</v>
      </c>
      <c r="AF7" s="79">
        <v>22</v>
      </c>
      <c r="AG7" s="79">
        <v>22</v>
      </c>
      <c r="AH7" s="79">
        <f>AF7+AG7</f>
        <v>44</v>
      </c>
      <c r="AI7" s="82">
        <f>SUM(G7,J7,K7,N7,Q7,R7,U7,X7,Y7,AB7,AE7,AH7)</f>
        <v>753</v>
      </c>
      <c r="AJ7" s="106">
        <f>AI7/850*100</f>
        <v>88.588235294117652</v>
      </c>
      <c r="AK7" s="103" t="s">
        <v>326</v>
      </c>
      <c r="AL7" s="77">
        <f>RANK(AJ7,$AJ$7:$AJ$63)</f>
        <v>18</v>
      </c>
    </row>
    <row r="8" spans="1:38" x14ac:dyDescent="0.3">
      <c r="A8" s="77">
        <v>2</v>
      </c>
      <c r="B8" s="83">
        <v>265065</v>
      </c>
      <c r="C8" s="83">
        <v>23410260112</v>
      </c>
      <c r="D8" s="88" t="s">
        <v>36</v>
      </c>
      <c r="E8" s="79">
        <v>44</v>
      </c>
      <c r="F8" s="79">
        <v>16</v>
      </c>
      <c r="G8" s="79">
        <f t="shared" ref="G8:G63" si="0">E8+F8</f>
        <v>60</v>
      </c>
      <c r="H8" s="79">
        <v>22</v>
      </c>
      <c r="I8" s="79">
        <v>22</v>
      </c>
      <c r="J8" s="79">
        <f t="shared" ref="J8:J63" si="1">H8+I8</f>
        <v>44</v>
      </c>
      <c r="K8" s="79">
        <v>22</v>
      </c>
      <c r="L8" s="79">
        <v>47</v>
      </c>
      <c r="M8" s="79">
        <v>28</v>
      </c>
      <c r="N8" s="79">
        <f t="shared" ref="N8:N63" si="2">L8+M8</f>
        <v>75</v>
      </c>
      <c r="O8" s="79">
        <v>23</v>
      </c>
      <c r="P8" s="79">
        <v>23</v>
      </c>
      <c r="Q8" s="79">
        <f t="shared" ref="Q8:Q63" si="3">O8+P8</f>
        <v>46</v>
      </c>
      <c r="R8" s="79">
        <v>23</v>
      </c>
      <c r="S8" s="79">
        <v>21</v>
      </c>
      <c r="T8" s="79">
        <f t="shared" ref="T8:T61" si="4">R8+S8</f>
        <v>44</v>
      </c>
      <c r="U8" s="79">
        <f t="shared" ref="U8:U63" si="5">S8+T8</f>
        <v>65</v>
      </c>
      <c r="V8" s="79">
        <v>23</v>
      </c>
      <c r="W8" s="79">
        <v>23</v>
      </c>
      <c r="X8" s="79">
        <f t="shared" ref="X8:X63" si="6">V8+W8</f>
        <v>46</v>
      </c>
      <c r="Y8" s="79">
        <v>23</v>
      </c>
      <c r="Z8" s="79">
        <v>90</v>
      </c>
      <c r="AA8" s="79">
        <v>90</v>
      </c>
      <c r="AB8" s="79">
        <f t="shared" ref="AB8:AB63" si="7">Z8+AA8</f>
        <v>180</v>
      </c>
      <c r="AC8" s="79">
        <v>60</v>
      </c>
      <c r="AD8" s="79">
        <v>13</v>
      </c>
      <c r="AE8" s="79">
        <f t="shared" ref="AE8:AE63" si="8">AC8+AD8</f>
        <v>73</v>
      </c>
      <c r="AF8" s="79">
        <v>20</v>
      </c>
      <c r="AG8" s="79">
        <v>20</v>
      </c>
      <c r="AH8" s="79">
        <f t="shared" ref="AH8:AH63" si="9">AF8+AG8</f>
        <v>40</v>
      </c>
      <c r="AI8" s="82">
        <f t="shared" ref="AI8:AI63" si="10">SUM(G8,J8,K8,N8,Q8,R8,U8,X8,Y8,AB8,AE8,AH8)</f>
        <v>697</v>
      </c>
      <c r="AJ8" s="106">
        <f t="shared" ref="AJ8:AJ63" si="11">AI8/850*100</f>
        <v>82</v>
      </c>
      <c r="AK8" s="103" t="s">
        <v>326</v>
      </c>
      <c r="AL8" s="77">
        <f t="shared" ref="AL8:AL63" si="12">RANK(AJ8,$AJ$7:$AJ$63)</f>
        <v>39</v>
      </c>
    </row>
    <row r="9" spans="1:38" x14ac:dyDescent="0.3">
      <c r="A9" s="77">
        <v>3</v>
      </c>
      <c r="B9" s="83">
        <v>265066</v>
      </c>
      <c r="C9" s="83">
        <v>23410260113</v>
      </c>
      <c r="D9" s="88" t="s">
        <v>37</v>
      </c>
      <c r="E9" s="79">
        <v>37</v>
      </c>
      <c r="F9" s="79">
        <v>21</v>
      </c>
      <c r="G9" s="79">
        <f t="shared" si="0"/>
        <v>58</v>
      </c>
      <c r="H9" s="79">
        <v>23</v>
      </c>
      <c r="I9" s="79">
        <v>23</v>
      </c>
      <c r="J9" s="79">
        <f t="shared" si="1"/>
        <v>46</v>
      </c>
      <c r="K9" s="79">
        <v>23</v>
      </c>
      <c r="L9" s="79">
        <v>46</v>
      </c>
      <c r="M9" s="79">
        <v>28</v>
      </c>
      <c r="N9" s="79">
        <f t="shared" si="2"/>
        <v>74</v>
      </c>
      <c r="O9" s="79">
        <v>23</v>
      </c>
      <c r="P9" s="79">
        <v>23</v>
      </c>
      <c r="Q9" s="79">
        <f t="shared" si="3"/>
        <v>46</v>
      </c>
      <c r="R9" s="79">
        <v>23</v>
      </c>
      <c r="S9" s="79">
        <v>21</v>
      </c>
      <c r="T9" s="79">
        <f t="shared" si="4"/>
        <v>44</v>
      </c>
      <c r="U9" s="79">
        <f t="shared" si="5"/>
        <v>65</v>
      </c>
      <c r="V9" s="79">
        <v>23</v>
      </c>
      <c r="W9" s="79">
        <v>23</v>
      </c>
      <c r="X9" s="79">
        <f t="shared" si="6"/>
        <v>46</v>
      </c>
      <c r="Y9" s="79">
        <v>23</v>
      </c>
      <c r="Z9" s="79">
        <v>94</v>
      </c>
      <c r="AA9" s="79">
        <v>94</v>
      </c>
      <c r="AB9" s="79">
        <f t="shared" si="7"/>
        <v>188</v>
      </c>
      <c r="AC9" s="79">
        <v>55</v>
      </c>
      <c r="AD9" s="79">
        <v>13</v>
      </c>
      <c r="AE9" s="79">
        <f t="shared" si="8"/>
        <v>68</v>
      </c>
      <c r="AF9" s="79">
        <v>21</v>
      </c>
      <c r="AG9" s="79">
        <v>21</v>
      </c>
      <c r="AH9" s="79">
        <f t="shared" si="9"/>
        <v>42</v>
      </c>
      <c r="AI9" s="82">
        <f t="shared" si="10"/>
        <v>702</v>
      </c>
      <c r="AJ9" s="106">
        <f t="shared" si="11"/>
        <v>82.588235294117652</v>
      </c>
      <c r="AK9" s="103" t="s">
        <v>326</v>
      </c>
      <c r="AL9" s="77">
        <f t="shared" si="12"/>
        <v>37</v>
      </c>
    </row>
    <row r="10" spans="1:38" x14ac:dyDescent="0.3">
      <c r="A10" s="77">
        <v>4</v>
      </c>
      <c r="B10" s="83">
        <v>265067</v>
      </c>
      <c r="C10" s="83">
        <v>23410260116</v>
      </c>
      <c r="D10" s="88" t="s">
        <v>38</v>
      </c>
      <c r="E10" s="79">
        <v>32</v>
      </c>
      <c r="F10" s="79">
        <v>12</v>
      </c>
      <c r="G10" s="79">
        <f t="shared" si="0"/>
        <v>44</v>
      </c>
      <c r="H10" s="79">
        <v>22</v>
      </c>
      <c r="I10" s="79">
        <v>22</v>
      </c>
      <c r="J10" s="79">
        <f t="shared" si="1"/>
        <v>44</v>
      </c>
      <c r="K10" s="79">
        <v>22</v>
      </c>
      <c r="L10" s="79">
        <v>42</v>
      </c>
      <c r="M10" s="79">
        <v>26</v>
      </c>
      <c r="N10" s="79">
        <f t="shared" si="2"/>
        <v>68</v>
      </c>
      <c r="O10" s="79">
        <v>22</v>
      </c>
      <c r="P10" s="79">
        <v>22</v>
      </c>
      <c r="Q10" s="79">
        <f t="shared" si="3"/>
        <v>44</v>
      </c>
      <c r="R10" s="79">
        <v>22</v>
      </c>
      <c r="S10" s="79">
        <v>21</v>
      </c>
      <c r="T10" s="79">
        <f t="shared" si="4"/>
        <v>43</v>
      </c>
      <c r="U10" s="79">
        <f t="shared" si="5"/>
        <v>64</v>
      </c>
      <c r="V10" s="79">
        <v>23</v>
      </c>
      <c r="W10" s="79">
        <v>22</v>
      </c>
      <c r="X10" s="79">
        <f t="shared" si="6"/>
        <v>45</v>
      </c>
      <c r="Y10" s="79">
        <v>23</v>
      </c>
      <c r="Z10" s="79">
        <v>92</v>
      </c>
      <c r="AA10" s="79">
        <v>92</v>
      </c>
      <c r="AB10" s="79">
        <f t="shared" si="7"/>
        <v>184</v>
      </c>
      <c r="AC10" s="79">
        <v>41</v>
      </c>
      <c r="AD10" s="79">
        <v>13</v>
      </c>
      <c r="AE10" s="79">
        <f t="shared" si="8"/>
        <v>54</v>
      </c>
      <c r="AF10" s="79">
        <v>21</v>
      </c>
      <c r="AG10" s="79">
        <v>21</v>
      </c>
      <c r="AH10" s="79">
        <f t="shared" si="9"/>
        <v>42</v>
      </c>
      <c r="AI10" s="82">
        <f t="shared" si="10"/>
        <v>656</v>
      </c>
      <c r="AJ10" s="106">
        <f t="shared" si="11"/>
        <v>77.17647058823529</v>
      </c>
      <c r="AK10" s="103" t="s">
        <v>326</v>
      </c>
      <c r="AL10" s="77">
        <f t="shared" si="12"/>
        <v>51</v>
      </c>
    </row>
    <row r="11" spans="1:38" x14ac:dyDescent="0.3">
      <c r="A11" s="77">
        <v>5</v>
      </c>
      <c r="B11" s="83">
        <v>265068</v>
      </c>
      <c r="C11" s="83">
        <v>23410260118</v>
      </c>
      <c r="D11" s="88" t="s">
        <v>39</v>
      </c>
      <c r="E11" s="79">
        <v>51</v>
      </c>
      <c r="F11" s="79">
        <v>29</v>
      </c>
      <c r="G11" s="79">
        <f t="shared" si="0"/>
        <v>80</v>
      </c>
      <c r="H11" s="79">
        <v>24</v>
      </c>
      <c r="I11" s="79">
        <v>23</v>
      </c>
      <c r="J11" s="79">
        <f t="shared" si="1"/>
        <v>47</v>
      </c>
      <c r="K11" s="79">
        <v>23</v>
      </c>
      <c r="L11" s="79">
        <v>64</v>
      </c>
      <c r="M11" s="79">
        <v>30</v>
      </c>
      <c r="N11" s="79">
        <f t="shared" si="2"/>
        <v>94</v>
      </c>
      <c r="O11" s="79">
        <v>23</v>
      </c>
      <c r="P11" s="79">
        <v>23</v>
      </c>
      <c r="Q11" s="79">
        <f t="shared" si="3"/>
        <v>46</v>
      </c>
      <c r="R11" s="79">
        <v>23</v>
      </c>
      <c r="S11" s="79">
        <v>23</v>
      </c>
      <c r="T11" s="79">
        <f t="shared" si="4"/>
        <v>46</v>
      </c>
      <c r="U11" s="79">
        <f t="shared" si="5"/>
        <v>69</v>
      </c>
      <c r="V11" s="79">
        <v>23</v>
      </c>
      <c r="W11" s="79">
        <v>23</v>
      </c>
      <c r="X11" s="79">
        <f t="shared" si="6"/>
        <v>46</v>
      </c>
      <c r="Y11" s="79">
        <v>23</v>
      </c>
      <c r="Z11" s="79">
        <v>96</v>
      </c>
      <c r="AA11" s="79">
        <v>96</v>
      </c>
      <c r="AB11" s="79">
        <f t="shared" si="7"/>
        <v>192</v>
      </c>
      <c r="AC11" s="79">
        <v>65</v>
      </c>
      <c r="AD11" s="79">
        <v>27</v>
      </c>
      <c r="AE11" s="79">
        <f t="shared" si="8"/>
        <v>92</v>
      </c>
      <c r="AF11" s="79">
        <v>22</v>
      </c>
      <c r="AG11" s="79">
        <v>22</v>
      </c>
      <c r="AH11" s="79">
        <f t="shared" si="9"/>
        <v>44</v>
      </c>
      <c r="AI11" s="82">
        <f t="shared" si="10"/>
        <v>779</v>
      </c>
      <c r="AJ11" s="106">
        <f t="shared" si="11"/>
        <v>91.64705882352942</v>
      </c>
      <c r="AK11" s="103" t="s">
        <v>326</v>
      </c>
      <c r="AL11" s="77">
        <f t="shared" si="12"/>
        <v>3</v>
      </c>
    </row>
    <row r="12" spans="1:38" x14ac:dyDescent="0.3">
      <c r="A12" s="77">
        <v>6</v>
      </c>
      <c r="B12" s="83">
        <v>265069</v>
      </c>
      <c r="C12" s="83">
        <v>23410260120</v>
      </c>
      <c r="D12" s="88" t="s">
        <v>40</v>
      </c>
      <c r="E12" s="79">
        <v>64</v>
      </c>
      <c r="F12" s="79">
        <v>26</v>
      </c>
      <c r="G12" s="79">
        <f t="shared" si="0"/>
        <v>90</v>
      </c>
      <c r="H12" s="79">
        <v>23</v>
      </c>
      <c r="I12" s="79">
        <v>23</v>
      </c>
      <c r="J12" s="79">
        <f t="shared" si="1"/>
        <v>46</v>
      </c>
      <c r="K12" s="79">
        <v>23</v>
      </c>
      <c r="L12" s="79">
        <v>57</v>
      </c>
      <c r="M12" s="79">
        <v>30</v>
      </c>
      <c r="N12" s="79">
        <f t="shared" si="2"/>
        <v>87</v>
      </c>
      <c r="O12" s="79">
        <v>23</v>
      </c>
      <c r="P12" s="79">
        <v>23</v>
      </c>
      <c r="Q12" s="79">
        <f t="shared" si="3"/>
        <v>46</v>
      </c>
      <c r="R12" s="79">
        <v>23</v>
      </c>
      <c r="S12" s="79">
        <v>22</v>
      </c>
      <c r="T12" s="79">
        <f t="shared" si="4"/>
        <v>45</v>
      </c>
      <c r="U12" s="79">
        <f t="shared" si="5"/>
        <v>67</v>
      </c>
      <c r="V12" s="79">
        <v>22</v>
      </c>
      <c r="W12" s="79">
        <v>22</v>
      </c>
      <c r="X12" s="79">
        <f t="shared" si="6"/>
        <v>44</v>
      </c>
      <c r="Y12" s="79">
        <v>22</v>
      </c>
      <c r="Z12" s="79">
        <v>96</v>
      </c>
      <c r="AA12" s="79">
        <v>96</v>
      </c>
      <c r="AB12" s="79">
        <f t="shared" si="7"/>
        <v>192</v>
      </c>
      <c r="AC12" s="79">
        <v>63</v>
      </c>
      <c r="AD12" s="79">
        <v>21</v>
      </c>
      <c r="AE12" s="79">
        <f t="shared" si="8"/>
        <v>84</v>
      </c>
      <c r="AF12" s="79">
        <v>20</v>
      </c>
      <c r="AG12" s="79">
        <v>20</v>
      </c>
      <c r="AH12" s="79">
        <f t="shared" si="9"/>
        <v>40</v>
      </c>
      <c r="AI12" s="82">
        <f t="shared" si="10"/>
        <v>764</v>
      </c>
      <c r="AJ12" s="106">
        <f t="shared" si="11"/>
        <v>89.882352941176464</v>
      </c>
      <c r="AK12" s="103" t="s">
        <v>326</v>
      </c>
      <c r="AL12" s="77">
        <f t="shared" si="12"/>
        <v>14</v>
      </c>
    </row>
    <row r="13" spans="1:38" x14ac:dyDescent="0.3">
      <c r="A13" s="77">
        <v>7</v>
      </c>
      <c r="B13" s="83">
        <v>265070</v>
      </c>
      <c r="C13" s="83">
        <v>23410260121</v>
      </c>
      <c r="D13" s="88" t="s">
        <v>41</v>
      </c>
      <c r="E13" s="79">
        <v>45</v>
      </c>
      <c r="F13" s="79">
        <v>28</v>
      </c>
      <c r="G13" s="79">
        <f t="shared" si="0"/>
        <v>73</v>
      </c>
      <c r="H13" s="79">
        <v>24</v>
      </c>
      <c r="I13" s="79">
        <v>23</v>
      </c>
      <c r="J13" s="79">
        <f t="shared" si="1"/>
        <v>47</v>
      </c>
      <c r="K13" s="79">
        <v>23</v>
      </c>
      <c r="L13" s="79">
        <v>66</v>
      </c>
      <c r="M13" s="79">
        <v>30</v>
      </c>
      <c r="N13" s="79">
        <f t="shared" si="2"/>
        <v>96</v>
      </c>
      <c r="O13" s="79">
        <v>23</v>
      </c>
      <c r="P13" s="79">
        <v>23</v>
      </c>
      <c r="Q13" s="79">
        <f t="shared" si="3"/>
        <v>46</v>
      </c>
      <c r="R13" s="79">
        <v>23</v>
      </c>
      <c r="S13" s="79">
        <v>23</v>
      </c>
      <c r="T13" s="79">
        <f t="shared" si="4"/>
        <v>46</v>
      </c>
      <c r="U13" s="79">
        <f t="shared" si="5"/>
        <v>69</v>
      </c>
      <c r="V13" s="79">
        <v>23</v>
      </c>
      <c r="W13" s="79">
        <v>23</v>
      </c>
      <c r="X13" s="79">
        <f t="shared" si="6"/>
        <v>46</v>
      </c>
      <c r="Y13" s="79">
        <v>23</v>
      </c>
      <c r="Z13" s="79">
        <v>96</v>
      </c>
      <c r="AA13" s="79">
        <v>96</v>
      </c>
      <c r="AB13" s="79">
        <f t="shared" si="7"/>
        <v>192</v>
      </c>
      <c r="AC13" s="79">
        <v>66</v>
      </c>
      <c r="AD13" s="79">
        <v>29</v>
      </c>
      <c r="AE13" s="79">
        <f t="shared" si="8"/>
        <v>95</v>
      </c>
      <c r="AF13" s="79">
        <v>22</v>
      </c>
      <c r="AG13" s="79">
        <v>22</v>
      </c>
      <c r="AH13" s="79">
        <f t="shared" si="9"/>
        <v>44</v>
      </c>
      <c r="AI13" s="82">
        <f t="shared" si="10"/>
        <v>777</v>
      </c>
      <c r="AJ13" s="106">
        <f t="shared" si="11"/>
        <v>91.411764705882348</v>
      </c>
      <c r="AK13" s="103" t="s">
        <v>326</v>
      </c>
      <c r="AL13" s="77">
        <f t="shared" si="12"/>
        <v>4</v>
      </c>
    </row>
    <row r="14" spans="1:38" x14ac:dyDescent="0.3">
      <c r="A14" s="77">
        <v>8</v>
      </c>
      <c r="B14" s="83">
        <v>265071</v>
      </c>
      <c r="C14" s="83">
        <v>23410260122</v>
      </c>
      <c r="D14" s="88" t="s">
        <v>42</v>
      </c>
      <c r="E14" s="79">
        <v>46</v>
      </c>
      <c r="F14" s="79">
        <v>22</v>
      </c>
      <c r="G14" s="79">
        <f t="shared" si="0"/>
        <v>68</v>
      </c>
      <c r="H14" s="79">
        <v>23</v>
      </c>
      <c r="I14" s="79">
        <v>23</v>
      </c>
      <c r="J14" s="79">
        <f t="shared" si="1"/>
        <v>46</v>
      </c>
      <c r="K14" s="79">
        <v>23</v>
      </c>
      <c r="L14" s="79">
        <v>63</v>
      </c>
      <c r="M14" s="79">
        <v>28</v>
      </c>
      <c r="N14" s="79">
        <f t="shared" si="2"/>
        <v>91</v>
      </c>
      <c r="O14" s="79">
        <v>23</v>
      </c>
      <c r="P14" s="79">
        <v>23</v>
      </c>
      <c r="Q14" s="79">
        <f t="shared" si="3"/>
        <v>46</v>
      </c>
      <c r="R14" s="79">
        <v>23</v>
      </c>
      <c r="S14" s="79">
        <v>22</v>
      </c>
      <c r="T14" s="79">
        <f t="shared" si="4"/>
        <v>45</v>
      </c>
      <c r="U14" s="79">
        <f t="shared" si="5"/>
        <v>67</v>
      </c>
      <c r="V14" s="79">
        <v>22</v>
      </c>
      <c r="W14" s="79">
        <v>20</v>
      </c>
      <c r="X14" s="79">
        <f t="shared" si="6"/>
        <v>42</v>
      </c>
      <c r="Y14" s="79">
        <v>22</v>
      </c>
      <c r="Z14" s="79">
        <v>94</v>
      </c>
      <c r="AA14" s="79">
        <v>94</v>
      </c>
      <c r="AB14" s="79">
        <f t="shared" si="7"/>
        <v>188</v>
      </c>
      <c r="AC14" s="79">
        <v>56</v>
      </c>
      <c r="AD14" s="79">
        <v>23</v>
      </c>
      <c r="AE14" s="79">
        <f t="shared" si="8"/>
        <v>79</v>
      </c>
      <c r="AF14" s="79">
        <v>22</v>
      </c>
      <c r="AG14" s="79">
        <v>22</v>
      </c>
      <c r="AH14" s="79">
        <f t="shared" si="9"/>
        <v>44</v>
      </c>
      <c r="AI14" s="82">
        <f t="shared" si="10"/>
        <v>739</v>
      </c>
      <c r="AJ14" s="106">
        <f t="shared" si="11"/>
        <v>86.941176470588232</v>
      </c>
      <c r="AK14" s="103" t="s">
        <v>326</v>
      </c>
      <c r="AL14" s="77">
        <f t="shared" si="12"/>
        <v>25</v>
      </c>
    </row>
    <row r="15" spans="1:38" x14ac:dyDescent="0.3">
      <c r="A15" s="77">
        <v>9</v>
      </c>
      <c r="B15" s="83">
        <v>265072</v>
      </c>
      <c r="C15" s="83">
        <v>23410260123</v>
      </c>
      <c r="D15" s="88" t="s">
        <v>43</v>
      </c>
      <c r="E15" s="79">
        <v>53</v>
      </c>
      <c r="F15" s="79">
        <v>21</v>
      </c>
      <c r="G15" s="79">
        <f t="shared" si="0"/>
        <v>74</v>
      </c>
      <c r="H15" s="79">
        <v>23</v>
      </c>
      <c r="I15" s="79">
        <v>23</v>
      </c>
      <c r="J15" s="79">
        <f t="shared" si="1"/>
        <v>46</v>
      </c>
      <c r="K15" s="79">
        <v>23</v>
      </c>
      <c r="L15" s="79">
        <v>59</v>
      </c>
      <c r="M15" s="79">
        <v>30</v>
      </c>
      <c r="N15" s="79">
        <f t="shared" si="2"/>
        <v>89</v>
      </c>
      <c r="O15" s="79">
        <v>23</v>
      </c>
      <c r="P15" s="79">
        <v>23</v>
      </c>
      <c r="Q15" s="79">
        <f t="shared" si="3"/>
        <v>46</v>
      </c>
      <c r="R15" s="79">
        <v>23</v>
      </c>
      <c r="S15" s="79">
        <v>22</v>
      </c>
      <c r="T15" s="79">
        <f t="shared" si="4"/>
        <v>45</v>
      </c>
      <c r="U15" s="79">
        <f t="shared" si="5"/>
        <v>67</v>
      </c>
      <c r="V15" s="79">
        <v>22</v>
      </c>
      <c r="W15" s="79">
        <v>22</v>
      </c>
      <c r="X15" s="79">
        <f t="shared" si="6"/>
        <v>44</v>
      </c>
      <c r="Y15" s="79">
        <v>22</v>
      </c>
      <c r="Z15" s="79">
        <v>93</v>
      </c>
      <c r="AA15" s="79">
        <v>93</v>
      </c>
      <c r="AB15" s="79">
        <f t="shared" si="7"/>
        <v>186</v>
      </c>
      <c r="AC15" s="79">
        <v>60</v>
      </c>
      <c r="AD15" s="79">
        <v>21</v>
      </c>
      <c r="AE15" s="79">
        <f t="shared" si="8"/>
        <v>81</v>
      </c>
      <c r="AF15" s="79">
        <v>21</v>
      </c>
      <c r="AG15" s="79">
        <v>21</v>
      </c>
      <c r="AH15" s="79">
        <f t="shared" si="9"/>
        <v>42</v>
      </c>
      <c r="AI15" s="82">
        <f t="shared" si="10"/>
        <v>743</v>
      </c>
      <c r="AJ15" s="106">
        <f t="shared" si="11"/>
        <v>87.411764705882362</v>
      </c>
      <c r="AK15" s="103" t="s">
        <v>326</v>
      </c>
      <c r="AL15" s="77">
        <f t="shared" si="12"/>
        <v>22</v>
      </c>
    </row>
    <row r="16" spans="1:38" x14ac:dyDescent="0.3">
      <c r="A16" s="77">
        <v>10</v>
      </c>
      <c r="B16" s="83">
        <v>265073</v>
      </c>
      <c r="C16" s="83">
        <v>23410260124</v>
      </c>
      <c r="D16" s="88" t="s">
        <v>44</v>
      </c>
      <c r="E16" s="79">
        <v>46</v>
      </c>
      <c r="F16" s="79">
        <v>30</v>
      </c>
      <c r="G16" s="79">
        <f t="shared" si="0"/>
        <v>76</v>
      </c>
      <c r="H16" s="79">
        <v>24</v>
      </c>
      <c r="I16" s="79">
        <v>23</v>
      </c>
      <c r="J16" s="79">
        <f t="shared" si="1"/>
        <v>47</v>
      </c>
      <c r="K16" s="79">
        <v>24</v>
      </c>
      <c r="L16" s="79">
        <v>66</v>
      </c>
      <c r="M16" s="79">
        <v>29</v>
      </c>
      <c r="N16" s="79">
        <f t="shared" si="2"/>
        <v>95</v>
      </c>
      <c r="O16" s="79">
        <v>23</v>
      </c>
      <c r="P16" s="79">
        <v>23</v>
      </c>
      <c r="Q16" s="79">
        <f t="shared" si="3"/>
        <v>46</v>
      </c>
      <c r="R16" s="79">
        <v>23</v>
      </c>
      <c r="S16" s="79">
        <v>21</v>
      </c>
      <c r="T16" s="79">
        <v>41</v>
      </c>
      <c r="U16" s="79">
        <f t="shared" si="5"/>
        <v>62</v>
      </c>
      <c r="V16" s="79">
        <v>23</v>
      </c>
      <c r="W16" s="79">
        <v>22</v>
      </c>
      <c r="X16" s="79">
        <f t="shared" si="6"/>
        <v>45</v>
      </c>
      <c r="Y16" s="79">
        <v>23</v>
      </c>
      <c r="Z16" s="79">
        <v>97</v>
      </c>
      <c r="AA16" s="79">
        <v>97</v>
      </c>
      <c r="AB16" s="79">
        <f t="shared" si="7"/>
        <v>194</v>
      </c>
      <c r="AC16" s="79">
        <v>58</v>
      </c>
      <c r="AD16" s="79">
        <v>24</v>
      </c>
      <c r="AE16" s="79">
        <f t="shared" si="8"/>
        <v>82</v>
      </c>
      <c r="AF16" s="79">
        <v>22</v>
      </c>
      <c r="AG16" s="79">
        <v>22</v>
      </c>
      <c r="AH16" s="79">
        <f t="shared" si="9"/>
        <v>44</v>
      </c>
      <c r="AI16" s="82">
        <f t="shared" si="10"/>
        <v>761</v>
      </c>
      <c r="AJ16" s="106">
        <f t="shared" si="11"/>
        <v>89.529411764705884</v>
      </c>
      <c r="AK16" s="103" t="s">
        <v>326</v>
      </c>
      <c r="AL16" s="77">
        <f t="shared" si="12"/>
        <v>16</v>
      </c>
    </row>
    <row r="17" spans="1:38" x14ac:dyDescent="0.3">
      <c r="A17" s="77">
        <v>11</v>
      </c>
      <c r="B17" s="83">
        <v>265074</v>
      </c>
      <c r="C17" s="83">
        <v>23410260125</v>
      </c>
      <c r="D17" s="88" t="s">
        <v>45</v>
      </c>
      <c r="E17" s="79">
        <v>50</v>
      </c>
      <c r="F17" s="79">
        <v>26</v>
      </c>
      <c r="G17" s="79">
        <f t="shared" si="0"/>
        <v>76</v>
      </c>
      <c r="H17" s="79">
        <v>23</v>
      </c>
      <c r="I17" s="79">
        <v>23</v>
      </c>
      <c r="J17" s="79">
        <f t="shared" si="1"/>
        <v>46</v>
      </c>
      <c r="K17" s="79">
        <v>23</v>
      </c>
      <c r="L17" s="79">
        <v>56</v>
      </c>
      <c r="M17" s="79">
        <v>29</v>
      </c>
      <c r="N17" s="79">
        <f t="shared" si="2"/>
        <v>85</v>
      </c>
      <c r="O17" s="79">
        <v>23</v>
      </c>
      <c r="P17" s="79">
        <v>23</v>
      </c>
      <c r="Q17" s="79">
        <f t="shared" si="3"/>
        <v>46</v>
      </c>
      <c r="R17" s="79">
        <v>23</v>
      </c>
      <c r="S17" s="79">
        <v>20</v>
      </c>
      <c r="T17" s="79">
        <f t="shared" si="4"/>
        <v>43</v>
      </c>
      <c r="U17" s="79">
        <f t="shared" si="5"/>
        <v>63</v>
      </c>
      <c r="V17" s="79">
        <v>23</v>
      </c>
      <c r="W17" s="79">
        <v>23</v>
      </c>
      <c r="X17" s="79">
        <f t="shared" si="6"/>
        <v>46</v>
      </c>
      <c r="Y17" s="79">
        <v>23</v>
      </c>
      <c r="Z17" s="79">
        <v>94</v>
      </c>
      <c r="AA17" s="79">
        <v>94</v>
      </c>
      <c r="AB17" s="79">
        <f t="shared" si="7"/>
        <v>188</v>
      </c>
      <c r="AC17" s="79">
        <v>47</v>
      </c>
      <c r="AD17" s="79">
        <v>17</v>
      </c>
      <c r="AE17" s="79">
        <f t="shared" si="8"/>
        <v>64</v>
      </c>
      <c r="AF17" s="79">
        <v>21</v>
      </c>
      <c r="AG17" s="79">
        <v>21</v>
      </c>
      <c r="AH17" s="79">
        <f t="shared" si="9"/>
        <v>42</v>
      </c>
      <c r="AI17" s="82">
        <f t="shared" si="10"/>
        <v>725</v>
      </c>
      <c r="AJ17" s="106">
        <f t="shared" si="11"/>
        <v>85.294117647058826</v>
      </c>
      <c r="AK17" s="103" t="s">
        <v>326</v>
      </c>
      <c r="AL17" s="77">
        <f t="shared" si="12"/>
        <v>30</v>
      </c>
    </row>
    <row r="18" spans="1:38" x14ac:dyDescent="0.3">
      <c r="A18" s="77">
        <v>12</v>
      </c>
      <c r="B18" s="83">
        <v>265075</v>
      </c>
      <c r="C18" s="83">
        <v>23410260126</v>
      </c>
      <c r="D18" s="88" t="s">
        <v>46</v>
      </c>
      <c r="E18" s="79">
        <v>39</v>
      </c>
      <c r="F18" s="79">
        <v>29</v>
      </c>
      <c r="G18" s="79">
        <f t="shared" si="0"/>
        <v>68</v>
      </c>
      <c r="H18" s="79">
        <v>24</v>
      </c>
      <c r="I18" s="79">
        <v>23</v>
      </c>
      <c r="J18" s="79">
        <f t="shared" si="1"/>
        <v>47</v>
      </c>
      <c r="K18" s="79">
        <v>24</v>
      </c>
      <c r="L18" s="79">
        <v>45</v>
      </c>
      <c r="M18" s="79">
        <v>30</v>
      </c>
      <c r="N18" s="79">
        <f t="shared" si="2"/>
        <v>75</v>
      </c>
      <c r="O18" s="79">
        <v>23</v>
      </c>
      <c r="P18" s="79">
        <v>23</v>
      </c>
      <c r="Q18" s="79">
        <f t="shared" si="3"/>
        <v>46</v>
      </c>
      <c r="R18" s="79">
        <v>23</v>
      </c>
      <c r="S18" s="79">
        <v>20</v>
      </c>
      <c r="T18" s="79">
        <v>40</v>
      </c>
      <c r="U18" s="79">
        <f t="shared" si="5"/>
        <v>60</v>
      </c>
      <c r="V18" s="79">
        <v>23</v>
      </c>
      <c r="W18" s="79">
        <v>23</v>
      </c>
      <c r="X18" s="79">
        <f t="shared" si="6"/>
        <v>46</v>
      </c>
      <c r="Y18" s="79">
        <v>23</v>
      </c>
      <c r="Z18" s="79">
        <v>94</v>
      </c>
      <c r="AA18" s="79">
        <v>94</v>
      </c>
      <c r="AB18" s="79">
        <f t="shared" si="7"/>
        <v>188</v>
      </c>
      <c r="AC18" s="79">
        <v>67</v>
      </c>
      <c r="AD18" s="79">
        <v>25</v>
      </c>
      <c r="AE18" s="79">
        <f t="shared" si="8"/>
        <v>92</v>
      </c>
      <c r="AF18" s="79">
        <v>21</v>
      </c>
      <c r="AG18" s="79">
        <v>21</v>
      </c>
      <c r="AH18" s="79">
        <f t="shared" si="9"/>
        <v>42</v>
      </c>
      <c r="AI18" s="82">
        <f t="shared" si="10"/>
        <v>734</v>
      </c>
      <c r="AJ18" s="106">
        <f t="shared" si="11"/>
        <v>86.352941176470594</v>
      </c>
      <c r="AK18" s="103" t="s">
        <v>326</v>
      </c>
      <c r="AL18" s="77">
        <f t="shared" si="12"/>
        <v>28</v>
      </c>
    </row>
    <row r="19" spans="1:38" x14ac:dyDescent="0.3">
      <c r="A19" s="77">
        <v>13</v>
      </c>
      <c r="B19" s="83">
        <v>265076</v>
      </c>
      <c r="C19" s="83">
        <v>23410260127</v>
      </c>
      <c r="D19" s="88" t="s">
        <v>47</v>
      </c>
      <c r="E19" s="79">
        <v>55</v>
      </c>
      <c r="F19" s="79">
        <v>24</v>
      </c>
      <c r="G19" s="79">
        <f t="shared" si="0"/>
        <v>79</v>
      </c>
      <c r="H19" s="79">
        <v>23</v>
      </c>
      <c r="I19" s="79">
        <v>23</v>
      </c>
      <c r="J19" s="79">
        <f t="shared" si="1"/>
        <v>46</v>
      </c>
      <c r="K19" s="79">
        <v>23</v>
      </c>
      <c r="L19" s="79">
        <v>49</v>
      </c>
      <c r="M19" s="79">
        <v>30</v>
      </c>
      <c r="N19" s="79">
        <f t="shared" si="2"/>
        <v>79</v>
      </c>
      <c r="O19" s="79">
        <v>23</v>
      </c>
      <c r="P19" s="79">
        <v>23</v>
      </c>
      <c r="Q19" s="79">
        <f t="shared" si="3"/>
        <v>46</v>
      </c>
      <c r="R19" s="79">
        <v>23</v>
      </c>
      <c r="S19" s="79">
        <v>21</v>
      </c>
      <c r="T19" s="79">
        <v>43</v>
      </c>
      <c r="U19" s="79">
        <f t="shared" si="5"/>
        <v>64</v>
      </c>
      <c r="V19" s="79">
        <v>23</v>
      </c>
      <c r="W19" s="79">
        <v>23</v>
      </c>
      <c r="X19" s="79">
        <f t="shared" si="6"/>
        <v>46</v>
      </c>
      <c r="Y19" s="79">
        <v>23</v>
      </c>
      <c r="Z19" s="79">
        <v>97</v>
      </c>
      <c r="AA19" s="79">
        <v>94</v>
      </c>
      <c r="AB19" s="79">
        <f t="shared" si="7"/>
        <v>191</v>
      </c>
      <c r="AC19" s="79">
        <v>48</v>
      </c>
      <c r="AD19" s="79">
        <v>23</v>
      </c>
      <c r="AE19" s="79">
        <f t="shared" si="8"/>
        <v>71</v>
      </c>
      <c r="AF19" s="79">
        <v>22</v>
      </c>
      <c r="AG19" s="79">
        <v>22</v>
      </c>
      <c r="AH19" s="79">
        <f t="shared" si="9"/>
        <v>44</v>
      </c>
      <c r="AI19" s="82">
        <f t="shared" si="10"/>
        <v>735</v>
      </c>
      <c r="AJ19" s="106">
        <f t="shared" si="11"/>
        <v>86.470588235294116</v>
      </c>
      <c r="AK19" s="103" t="s">
        <v>326</v>
      </c>
      <c r="AL19" s="77">
        <f t="shared" si="12"/>
        <v>27</v>
      </c>
    </row>
    <row r="20" spans="1:38" x14ac:dyDescent="0.3">
      <c r="A20" s="77">
        <v>14</v>
      </c>
      <c r="B20" s="83">
        <v>265077</v>
      </c>
      <c r="C20" s="83">
        <v>23410260131</v>
      </c>
      <c r="D20" s="88" t="s">
        <v>48</v>
      </c>
      <c r="E20" s="79">
        <v>56</v>
      </c>
      <c r="F20" s="79">
        <v>23</v>
      </c>
      <c r="G20" s="79">
        <f t="shared" si="0"/>
        <v>79</v>
      </c>
      <c r="H20" s="79">
        <v>23</v>
      </c>
      <c r="I20" s="79">
        <v>23</v>
      </c>
      <c r="J20" s="79">
        <f t="shared" si="1"/>
        <v>46</v>
      </c>
      <c r="K20" s="79">
        <v>23</v>
      </c>
      <c r="L20" s="79">
        <v>52</v>
      </c>
      <c r="M20" s="79">
        <v>30</v>
      </c>
      <c r="N20" s="79">
        <f t="shared" si="2"/>
        <v>82</v>
      </c>
      <c r="O20" s="79">
        <v>23</v>
      </c>
      <c r="P20" s="79">
        <v>23</v>
      </c>
      <c r="Q20" s="79">
        <f t="shared" si="3"/>
        <v>46</v>
      </c>
      <c r="R20" s="79">
        <v>23</v>
      </c>
      <c r="S20" s="79">
        <v>21</v>
      </c>
      <c r="T20" s="79">
        <f t="shared" si="4"/>
        <v>44</v>
      </c>
      <c r="U20" s="79">
        <f t="shared" si="5"/>
        <v>65</v>
      </c>
      <c r="V20" s="79">
        <v>22</v>
      </c>
      <c r="W20" s="79">
        <v>23</v>
      </c>
      <c r="X20" s="79">
        <f t="shared" si="6"/>
        <v>45</v>
      </c>
      <c r="Y20" s="79">
        <v>22</v>
      </c>
      <c r="Z20" s="79">
        <v>95</v>
      </c>
      <c r="AA20" s="79">
        <v>95</v>
      </c>
      <c r="AB20" s="79">
        <f t="shared" si="7"/>
        <v>190</v>
      </c>
      <c r="AC20" s="79">
        <v>42</v>
      </c>
      <c r="AD20" s="79">
        <v>22</v>
      </c>
      <c r="AE20" s="79">
        <f t="shared" si="8"/>
        <v>64</v>
      </c>
      <c r="AF20" s="79">
        <v>21</v>
      </c>
      <c r="AG20" s="79">
        <v>21</v>
      </c>
      <c r="AH20" s="79">
        <f t="shared" si="9"/>
        <v>42</v>
      </c>
      <c r="AI20" s="82">
        <f t="shared" si="10"/>
        <v>727</v>
      </c>
      <c r="AJ20" s="106">
        <f t="shared" si="11"/>
        <v>85.529411764705884</v>
      </c>
      <c r="AK20" s="103" t="s">
        <v>326</v>
      </c>
      <c r="AL20" s="77">
        <f t="shared" si="12"/>
        <v>29</v>
      </c>
    </row>
    <row r="21" spans="1:38" x14ac:dyDescent="0.3">
      <c r="A21" s="77">
        <v>15</v>
      </c>
      <c r="B21" s="83">
        <v>265078</v>
      </c>
      <c r="C21" s="83">
        <v>23410260134</v>
      </c>
      <c r="D21" s="88" t="s">
        <v>49</v>
      </c>
      <c r="E21" s="79">
        <v>61</v>
      </c>
      <c r="F21" s="79">
        <v>21</v>
      </c>
      <c r="G21" s="79">
        <f t="shared" si="0"/>
        <v>82</v>
      </c>
      <c r="H21" s="79">
        <v>23</v>
      </c>
      <c r="I21" s="79">
        <v>23</v>
      </c>
      <c r="J21" s="79">
        <f t="shared" si="1"/>
        <v>46</v>
      </c>
      <c r="K21" s="79">
        <v>23</v>
      </c>
      <c r="L21" s="79">
        <v>49</v>
      </c>
      <c r="M21" s="79">
        <v>28</v>
      </c>
      <c r="N21" s="79">
        <f t="shared" si="2"/>
        <v>77</v>
      </c>
      <c r="O21" s="79">
        <v>23</v>
      </c>
      <c r="P21" s="79">
        <v>23</v>
      </c>
      <c r="Q21" s="79">
        <f t="shared" si="3"/>
        <v>46</v>
      </c>
      <c r="R21" s="79">
        <v>23</v>
      </c>
      <c r="S21" s="79">
        <v>22</v>
      </c>
      <c r="T21" s="79">
        <f t="shared" si="4"/>
        <v>45</v>
      </c>
      <c r="U21" s="79">
        <f t="shared" si="5"/>
        <v>67</v>
      </c>
      <c r="V21" s="79">
        <v>23</v>
      </c>
      <c r="W21" s="79">
        <v>22</v>
      </c>
      <c r="X21" s="79">
        <f t="shared" si="6"/>
        <v>45</v>
      </c>
      <c r="Y21" s="79">
        <v>23</v>
      </c>
      <c r="Z21" s="79">
        <v>95</v>
      </c>
      <c r="AA21" s="79">
        <v>94</v>
      </c>
      <c r="AB21" s="79">
        <f t="shared" si="7"/>
        <v>189</v>
      </c>
      <c r="AC21" s="79">
        <v>62</v>
      </c>
      <c r="AD21" s="79">
        <v>21</v>
      </c>
      <c r="AE21" s="79">
        <f t="shared" si="8"/>
        <v>83</v>
      </c>
      <c r="AF21" s="79">
        <v>21</v>
      </c>
      <c r="AG21" s="79">
        <v>21</v>
      </c>
      <c r="AH21" s="79">
        <f t="shared" si="9"/>
        <v>42</v>
      </c>
      <c r="AI21" s="82">
        <f t="shared" si="10"/>
        <v>746</v>
      </c>
      <c r="AJ21" s="106">
        <f t="shared" si="11"/>
        <v>87.764705882352942</v>
      </c>
      <c r="AK21" s="103" t="s">
        <v>326</v>
      </c>
      <c r="AL21" s="77">
        <f t="shared" si="12"/>
        <v>21</v>
      </c>
    </row>
    <row r="22" spans="1:38" x14ac:dyDescent="0.3">
      <c r="A22" s="77">
        <v>16</v>
      </c>
      <c r="B22" s="83">
        <v>265079</v>
      </c>
      <c r="C22" s="83">
        <v>23410260135</v>
      </c>
      <c r="D22" s="88" t="s">
        <v>50</v>
      </c>
      <c r="E22" s="79">
        <v>64</v>
      </c>
      <c r="F22" s="79">
        <v>28</v>
      </c>
      <c r="G22" s="79">
        <f t="shared" si="0"/>
        <v>92</v>
      </c>
      <c r="H22" s="79">
        <v>23</v>
      </c>
      <c r="I22" s="79">
        <v>23</v>
      </c>
      <c r="J22" s="79">
        <f t="shared" si="1"/>
        <v>46</v>
      </c>
      <c r="K22" s="79">
        <v>23</v>
      </c>
      <c r="L22" s="79">
        <v>58</v>
      </c>
      <c r="M22" s="79">
        <v>30</v>
      </c>
      <c r="N22" s="79">
        <f t="shared" si="2"/>
        <v>88</v>
      </c>
      <c r="O22" s="79">
        <v>23</v>
      </c>
      <c r="P22" s="79">
        <v>23</v>
      </c>
      <c r="Q22" s="79">
        <f t="shared" si="3"/>
        <v>46</v>
      </c>
      <c r="R22" s="79">
        <v>23</v>
      </c>
      <c r="S22" s="79">
        <v>23</v>
      </c>
      <c r="T22" s="79">
        <f t="shared" si="4"/>
        <v>46</v>
      </c>
      <c r="U22" s="79">
        <f t="shared" si="5"/>
        <v>69</v>
      </c>
      <c r="V22" s="79">
        <v>22</v>
      </c>
      <c r="W22" s="79">
        <v>23</v>
      </c>
      <c r="X22" s="79">
        <f t="shared" si="6"/>
        <v>45</v>
      </c>
      <c r="Y22" s="79">
        <v>22</v>
      </c>
      <c r="Z22" s="79">
        <v>94</v>
      </c>
      <c r="AA22" s="79">
        <v>94</v>
      </c>
      <c r="AB22" s="79">
        <f t="shared" si="7"/>
        <v>188</v>
      </c>
      <c r="AC22" s="79">
        <v>63</v>
      </c>
      <c r="AD22" s="79">
        <v>23</v>
      </c>
      <c r="AE22" s="79">
        <f t="shared" si="8"/>
        <v>86</v>
      </c>
      <c r="AF22" s="79">
        <v>21</v>
      </c>
      <c r="AG22" s="79">
        <v>21</v>
      </c>
      <c r="AH22" s="79">
        <f t="shared" si="9"/>
        <v>42</v>
      </c>
      <c r="AI22" s="82">
        <f t="shared" si="10"/>
        <v>770</v>
      </c>
      <c r="AJ22" s="106">
        <f t="shared" si="11"/>
        <v>90.588235294117652</v>
      </c>
      <c r="AK22" s="103" t="s">
        <v>326</v>
      </c>
      <c r="AL22" s="77">
        <f t="shared" si="12"/>
        <v>10</v>
      </c>
    </row>
    <row r="23" spans="1:38" x14ac:dyDescent="0.3">
      <c r="A23" s="77">
        <v>17</v>
      </c>
      <c r="B23" s="83">
        <v>265080</v>
      </c>
      <c r="C23" s="83">
        <v>23410260137</v>
      </c>
      <c r="D23" s="88" t="s">
        <v>51</v>
      </c>
      <c r="E23" s="79">
        <v>54</v>
      </c>
      <c r="F23" s="79">
        <v>22</v>
      </c>
      <c r="G23" s="79">
        <f t="shared" si="0"/>
        <v>76</v>
      </c>
      <c r="H23" s="79">
        <v>23</v>
      </c>
      <c r="I23" s="79">
        <v>23</v>
      </c>
      <c r="J23" s="79">
        <f t="shared" si="1"/>
        <v>46</v>
      </c>
      <c r="K23" s="79">
        <v>23</v>
      </c>
      <c r="L23" s="79">
        <v>49</v>
      </c>
      <c r="M23" s="79">
        <v>30</v>
      </c>
      <c r="N23" s="79">
        <f t="shared" si="2"/>
        <v>79</v>
      </c>
      <c r="O23" s="79">
        <v>23</v>
      </c>
      <c r="P23" s="79">
        <v>23</v>
      </c>
      <c r="Q23" s="79">
        <f t="shared" si="3"/>
        <v>46</v>
      </c>
      <c r="R23" s="79">
        <v>23</v>
      </c>
      <c r="S23" s="79">
        <v>22</v>
      </c>
      <c r="T23" s="79">
        <f t="shared" si="4"/>
        <v>45</v>
      </c>
      <c r="U23" s="79">
        <f t="shared" si="5"/>
        <v>67</v>
      </c>
      <c r="V23" s="79">
        <v>22</v>
      </c>
      <c r="W23" s="79">
        <v>23</v>
      </c>
      <c r="X23" s="79">
        <f t="shared" si="6"/>
        <v>45</v>
      </c>
      <c r="Y23" s="79">
        <v>22</v>
      </c>
      <c r="Z23" s="79">
        <v>90</v>
      </c>
      <c r="AA23" s="79">
        <v>90</v>
      </c>
      <c r="AB23" s="79">
        <f t="shared" si="7"/>
        <v>180</v>
      </c>
      <c r="AC23" s="79">
        <v>50</v>
      </c>
      <c r="AD23" s="79">
        <v>20</v>
      </c>
      <c r="AE23" s="79">
        <f t="shared" si="8"/>
        <v>70</v>
      </c>
      <c r="AF23" s="79">
        <v>21</v>
      </c>
      <c r="AG23" s="79">
        <v>21</v>
      </c>
      <c r="AH23" s="79">
        <f t="shared" si="9"/>
        <v>42</v>
      </c>
      <c r="AI23" s="82">
        <f t="shared" si="10"/>
        <v>719</v>
      </c>
      <c r="AJ23" s="106">
        <f t="shared" si="11"/>
        <v>84.588235294117638</v>
      </c>
      <c r="AK23" s="103" t="s">
        <v>326</v>
      </c>
      <c r="AL23" s="77">
        <f t="shared" si="12"/>
        <v>31</v>
      </c>
    </row>
    <row r="24" spans="1:38" x14ac:dyDescent="0.3">
      <c r="A24" s="77">
        <v>18</v>
      </c>
      <c r="B24" s="83">
        <v>265081</v>
      </c>
      <c r="C24" s="83">
        <v>23410260139</v>
      </c>
      <c r="D24" s="88" t="s">
        <v>52</v>
      </c>
      <c r="E24" s="79">
        <v>45</v>
      </c>
      <c r="F24" s="79">
        <v>15</v>
      </c>
      <c r="G24" s="79">
        <f t="shared" si="0"/>
        <v>60</v>
      </c>
      <c r="H24" s="79">
        <v>22</v>
      </c>
      <c r="I24" s="79">
        <v>22</v>
      </c>
      <c r="J24" s="79">
        <f t="shared" si="1"/>
        <v>44</v>
      </c>
      <c r="K24" s="79">
        <v>22</v>
      </c>
      <c r="L24" s="79">
        <v>43</v>
      </c>
      <c r="M24" s="79">
        <v>30</v>
      </c>
      <c r="N24" s="79">
        <f t="shared" si="2"/>
        <v>73</v>
      </c>
      <c r="O24" s="79">
        <v>23</v>
      </c>
      <c r="P24" s="79">
        <v>23</v>
      </c>
      <c r="Q24" s="79">
        <f t="shared" si="3"/>
        <v>46</v>
      </c>
      <c r="R24" s="79">
        <v>23</v>
      </c>
      <c r="S24" s="79">
        <v>23</v>
      </c>
      <c r="T24" s="79">
        <f t="shared" si="4"/>
        <v>46</v>
      </c>
      <c r="U24" s="79">
        <f t="shared" si="5"/>
        <v>69</v>
      </c>
      <c r="V24" s="79">
        <v>22</v>
      </c>
      <c r="W24" s="79">
        <v>22</v>
      </c>
      <c r="X24" s="79">
        <f t="shared" si="6"/>
        <v>44</v>
      </c>
      <c r="Y24" s="79">
        <v>22</v>
      </c>
      <c r="Z24" s="79">
        <v>92</v>
      </c>
      <c r="AA24" s="79">
        <v>92</v>
      </c>
      <c r="AB24" s="79">
        <f t="shared" si="7"/>
        <v>184</v>
      </c>
      <c r="AC24" s="79">
        <v>43</v>
      </c>
      <c r="AD24" s="79">
        <v>17</v>
      </c>
      <c r="AE24" s="79">
        <f t="shared" si="8"/>
        <v>60</v>
      </c>
      <c r="AF24" s="79">
        <v>21</v>
      </c>
      <c r="AG24" s="79">
        <v>21</v>
      </c>
      <c r="AH24" s="79">
        <f t="shared" si="9"/>
        <v>42</v>
      </c>
      <c r="AI24" s="82">
        <f t="shared" si="10"/>
        <v>689</v>
      </c>
      <c r="AJ24" s="106">
        <f t="shared" si="11"/>
        <v>81.058823529411768</v>
      </c>
      <c r="AK24" s="103" t="s">
        <v>326</v>
      </c>
      <c r="AL24" s="77">
        <f t="shared" si="12"/>
        <v>41</v>
      </c>
    </row>
    <row r="25" spans="1:38" x14ac:dyDescent="0.3">
      <c r="A25" s="77">
        <v>19</v>
      </c>
      <c r="B25" s="83">
        <v>265082</v>
      </c>
      <c r="C25" s="83">
        <v>23410260140</v>
      </c>
      <c r="D25" s="88" t="s">
        <v>53</v>
      </c>
      <c r="E25" s="79">
        <v>55</v>
      </c>
      <c r="F25" s="79">
        <v>29</v>
      </c>
      <c r="G25" s="79">
        <f t="shared" si="0"/>
        <v>84</v>
      </c>
      <c r="H25" s="79">
        <v>24</v>
      </c>
      <c r="I25" s="79">
        <v>23</v>
      </c>
      <c r="J25" s="79">
        <f t="shared" si="1"/>
        <v>47</v>
      </c>
      <c r="K25" s="93">
        <v>23</v>
      </c>
      <c r="L25" s="79">
        <v>61</v>
      </c>
      <c r="M25" s="79">
        <v>30</v>
      </c>
      <c r="N25" s="79">
        <f t="shared" si="2"/>
        <v>91</v>
      </c>
      <c r="O25" s="79">
        <v>23</v>
      </c>
      <c r="P25" s="79">
        <v>23</v>
      </c>
      <c r="Q25" s="79">
        <f t="shared" si="3"/>
        <v>46</v>
      </c>
      <c r="R25" s="79">
        <v>23</v>
      </c>
      <c r="S25" s="79">
        <v>22</v>
      </c>
      <c r="T25" s="79">
        <f t="shared" si="4"/>
        <v>45</v>
      </c>
      <c r="U25" s="79">
        <f t="shared" si="5"/>
        <v>67</v>
      </c>
      <c r="V25" s="79">
        <v>23</v>
      </c>
      <c r="W25" s="79">
        <v>22</v>
      </c>
      <c r="X25" s="79">
        <f t="shared" si="6"/>
        <v>45</v>
      </c>
      <c r="Y25" s="79">
        <v>23</v>
      </c>
      <c r="Z25" s="79">
        <v>92</v>
      </c>
      <c r="AA25" s="79">
        <v>92</v>
      </c>
      <c r="AB25" s="79">
        <f t="shared" si="7"/>
        <v>184</v>
      </c>
      <c r="AC25" s="79">
        <v>58</v>
      </c>
      <c r="AD25" s="79">
        <v>30</v>
      </c>
      <c r="AE25" s="79">
        <f t="shared" si="8"/>
        <v>88</v>
      </c>
      <c r="AF25" s="79">
        <v>22</v>
      </c>
      <c r="AG25" s="79">
        <v>22</v>
      </c>
      <c r="AH25" s="79">
        <f t="shared" si="9"/>
        <v>44</v>
      </c>
      <c r="AI25" s="82">
        <f t="shared" si="10"/>
        <v>765</v>
      </c>
      <c r="AJ25" s="106">
        <f t="shared" si="11"/>
        <v>90</v>
      </c>
      <c r="AK25" s="103" t="s">
        <v>326</v>
      </c>
      <c r="AL25" s="77">
        <f t="shared" si="12"/>
        <v>13</v>
      </c>
    </row>
    <row r="26" spans="1:38" x14ac:dyDescent="0.3">
      <c r="A26" s="77">
        <v>20</v>
      </c>
      <c r="B26" s="83">
        <v>265083</v>
      </c>
      <c r="C26" s="83">
        <v>23410260142</v>
      </c>
      <c r="D26" s="88" t="s">
        <v>54</v>
      </c>
      <c r="E26" s="79">
        <v>63</v>
      </c>
      <c r="F26" s="79">
        <v>29</v>
      </c>
      <c r="G26" s="79">
        <f t="shared" si="0"/>
        <v>92</v>
      </c>
      <c r="H26" s="79">
        <v>24</v>
      </c>
      <c r="I26" s="79">
        <v>23</v>
      </c>
      <c r="J26" s="79">
        <f t="shared" si="1"/>
        <v>47</v>
      </c>
      <c r="K26" s="79">
        <v>23</v>
      </c>
      <c r="L26" s="79">
        <v>54</v>
      </c>
      <c r="M26" s="79">
        <v>30</v>
      </c>
      <c r="N26" s="79">
        <f t="shared" si="2"/>
        <v>84</v>
      </c>
      <c r="O26" s="79">
        <v>23</v>
      </c>
      <c r="P26" s="79">
        <v>23</v>
      </c>
      <c r="Q26" s="79">
        <f t="shared" si="3"/>
        <v>46</v>
      </c>
      <c r="R26" s="79">
        <v>23</v>
      </c>
      <c r="S26" s="79">
        <v>23</v>
      </c>
      <c r="T26" s="79">
        <f t="shared" si="4"/>
        <v>46</v>
      </c>
      <c r="U26" s="79">
        <f t="shared" si="5"/>
        <v>69</v>
      </c>
      <c r="V26" s="79">
        <v>23</v>
      </c>
      <c r="W26" s="79">
        <v>23</v>
      </c>
      <c r="X26" s="79">
        <f t="shared" si="6"/>
        <v>46</v>
      </c>
      <c r="Y26" s="79">
        <v>23</v>
      </c>
      <c r="Z26" s="79">
        <v>92</v>
      </c>
      <c r="AA26" s="79">
        <v>92</v>
      </c>
      <c r="AB26" s="79">
        <f t="shared" si="7"/>
        <v>184</v>
      </c>
      <c r="AC26" s="79">
        <v>62</v>
      </c>
      <c r="AD26" s="79">
        <v>30</v>
      </c>
      <c r="AE26" s="79">
        <f t="shared" si="8"/>
        <v>92</v>
      </c>
      <c r="AF26" s="79">
        <v>23</v>
      </c>
      <c r="AG26" s="79">
        <v>23</v>
      </c>
      <c r="AH26" s="79">
        <f t="shared" si="9"/>
        <v>46</v>
      </c>
      <c r="AI26" s="82">
        <f t="shared" si="10"/>
        <v>775</v>
      </c>
      <c r="AJ26" s="106">
        <f t="shared" si="11"/>
        <v>91.17647058823529</v>
      </c>
      <c r="AK26" s="103" t="s">
        <v>326</v>
      </c>
      <c r="AL26" s="77">
        <f t="shared" si="12"/>
        <v>7</v>
      </c>
    </row>
    <row r="27" spans="1:38" x14ac:dyDescent="0.3">
      <c r="A27" s="77">
        <v>21</v>
      </c>
      <c r="B27" s="83">
        <v>265084</v>
      </c>
      <c r="C27" s="83">
        <v>23410260143</v>
      </c>
      <c r="D27" s="88" t="s">
        <v>55</v>
      </c>
      <c r="E27" s="79">
        <v>40</v>
      </c>
      <c r="F27" s="79">
        <v>17</v>
      </c>
      <c r="G27" s="79">
        <f t="shared" si="0"/>
        <v>57</v>
      </c>
      <c r="H27" s="79">
        <v>21</v>
      </c>
      <c r="I27" s="79">
        <v>21</v>
      </c>
      <c r="J27" s="79">
        <f t="shared" si="1"/>
        <v>42</v>
      </c>
      <c r="K27" s="79">
        <v>22</v>
      </c>
      <c r="L27" s="79">
        <v>35</v>
      </c>
      <c r="M27" s="79">
        <v>19</v>
      </c>
      <c r="N27" s="79">
        <f t="shared" si="2"/>
        <v>54</v>
      </c>
      <c r="O27" s="79">
        <v>21</v>
      </c>
      <c r="P27" s="79">
        <v>20</v>
      </c>
      <c r="Q27" s="79">
        <f t="shared" si="3"/>
        <v>41</v>
      </c>
      <c r="R27" s="79">
        <v>20</v>
      </c>
      <c r="S27" s="79">
        <v>21</v>
      </c>
      <c r="T27" s="79">
        <v>42</v>
      </c>
      <c r="U27" s="79">
        <f t="shared" si="5"/>
        <v>63</v>
      </c>
      <c r="V27" s="79">
        <v>23</v>
      </c>
      <c r="W27" s="79">
        <v>23</v>
      </c>
      <c r="X27" s="79">
        <f t="shared" si="6"/>
        <v>46</v>
      </c>
      <c r="Y27" s="79">
        <v>23</v>
      </c>
      <c r="Z27" s="79">
        <v>90</v>
      </c>
      <c r="AA27" s="79">
        <v>90</v>
      </c>
      <c r="AB27" s="79">
        <f t="shared" si="7"/>
        <v>180</v>
      </c>
      <c r="AC27" s="79">
        <v>29</v>
      </c>
      <c r="AD27" s="79">
        <v>11</v>
      </c>
      <c r="AE27" s="79">
        <f t="shared" si="8"/>
        <v>40</v>
      </c>
      <c r="AF27" s="79">
        <v>21</v>
      </c>
      <c r="AG27" s="79">
        <v>21</v>
      </c>
      <c r="AH27" s="79">
        <f t="shared" si="9"/>
        <v>42</v>
      </c>
      <c r="AI27" s="82">
        <f t="shared" si="10"/>
        <v>630</v>
      </c>
      <c r="AJ27" s="106">
        <f t="shared" si="11"/>
        <v>74.117647058823536</v>
      </c>
      <c r="AK27" s="103" t="s">
        <v>326</v>
      </c>
      <c r="AL27" s="77">
        <f t="shared" si="12"/>
        <v>54</v>
      </c>
    </row>
    <row r="28" spans="1:38" x14ac:dyDescent="0.3">
      <c r="A28" s="77">
        <v>22</v>
      </c>
      <c r="B28" s="83">
        <v>265085</v>
      </c>
      <c r="C28" s="83">
        <v>23410260144</v>
      </c>
      <c r="D28" s="88" t="s">
        <v>56</v>
      </c>
      <c r="E28" s="79">
        <v>58</v>
      </c>
      <c r="F28" s="79">
        <v>27</v>
      </c>
      <c r="G28" s="79">
        <f t="shared" si="0"/>
        <v>85</v>
      </c>
      <c r="H28" s="79">
        <v>23</v>
      </c>
      <c r="I28" s="79">
        <v>23</v>
      </c>
      <c r="J28" s="79">
        <f t="shared" si="1"/>
        <v>46</v>
      </c>
      <c r="K28" s="79">
        <v>23</v>
      </c>
      <c r="L28" s="79">
        <v>53</v>
      </c>
      <c r="M28" s="79">
        <v>30</v>
      </c>
      <c r="N28" s="79">
        <f t="shared" si="2"/>
        <v>83</v>
      </c>
      <c r="O28" s="79">
        <v>23</v>
      </c>
      <c r="P28" s="79">
        <v>23</v>
      </c>
      <c r="Q28" s="79">
        <f t="shared" si="3"/>
        <v>46</v>
      </c>
      <c r="R28" s="79">
        <v>23</v>
      </c>
      <c r="S28" s="79">
        <v>22</v>
      </c>
      <c r="T28" s="79">
        <f t="shared" si="4"/>
        <v>45</v>
      </c>
      <c r="U28" s="79">
        <f t="shared" si="5"/>
        <v>67</v>
      </c>
      <c r="V28" s="79">
        <v>23</v>
      </c>
      <c r="W28" s="79">
        <v>23</v>
      </c>
      <c r="X28" s="79">
        <f t="shared" si="6"/>
        <v>46</v>
      </c>
      <c r="Y28" s="79">
        <v>23</v>
      </c>
      <c r="Z28" s="79">
        <v>92</v>
      </c>
      <c r="AA28" s="79">
        <v>92</v>
      </c>
      <c r="AB28" s="79">
        <f t="shared" si="7"/>
        <v>184</v>
      </c>
      <c r="AC28" s="79">
        <v>58</v>
      </c>
      <c r="AD28" s="79">
        <v>21</v>
      </c>
      <c r="AE28" s="79">
        <f t="shared" si="8"/>
        <v>79</v>
      </c>
      <c r="AF28" s="79">
        <v>22</v>
      </c>
      <c r="AG28" s="79">
        <v>22</v>
      </c>
      <c r="AH28" s="79">
        <f t="shared" si="9"/>
        <v>44</v>
      </c>
      <c r="AI28" s="82">
        <f t="shared" si="10"/>
        <v>749</v>
      </c>
      <c r="AJ28" s="106">
        <f t="shared" si="11"/>
        <v>88.117647058823536</v>
      </c>
      <c r="AK28" s="103" t="s">
        <v>326</v>
      </c>
      <c r="AL28" s="77">
        <f t="shared" si="12"/>
        <v>19</v>
      </c>
    </row>
    <row r="29" spans="1:38" x14ac:dyDescent="0.3">
      <c r="A29" s="77">
        <v>23</v>
      </c>
      <c r="B29" s="83">
        <v>265086</v>
      </c>
      <c r="C29" s="83">
        <v>23410260146</v>
      </c>
      <c r="D29" s="88" t="s">
        <v>57</v>
      </c>
      <c r="E29" s="79">
        <v>59</v>
      </c>
      <c r="F29" s="79">
        <v>28</v>
      </c>
      <c r="G29" s="79">
        <f t="shared" si="0"/>
        <v>87</v>
      </c>
      <c r="H29" s="79">
        <v>23</v>
      </c>
      <c r="I29" s="79">
        <v>23</v>
      </c>
      <c r="J29" s="79">
        <f t="shared" si="1"/>
        <v>46</v>
      </c>
      <c r="K29" s="79">
        <v>23</v>
      </c>
      <c r="L29" s="79">
        <v>67</v>
      </c>
      <c r="M29" s="79">
        <v>30</v>
      </c>
      <c r="N29" s="79">
        <f t="shared" si="2"/>
        <v>97</v>
      </c>
      <c r="O29" s="79">
        <v>23</v>
      </c>
      <c r="P29" s="79">
        <v>23</v>
      </c>
      <c r="Q29" s="79">
        <f t="shared" si="3"/>
        <v>46</v>
      </c>
      <c r="R29" s="79">
        <v>23</v>
      </c>
      <c r="S29" s="79">
        <v>21</v>
      </c>
      <c r="T29" s="79">
        <f t="shared" si="4"/>
        <v>44</v>
      </c>
      <c r="U29" s="79">
        <f t="shared" si="5"/>
        <v>65</v>
      </c>
      <c r="V29" s="79">
        <v>22</v>
      </c>
      <c r="W29" s="79">
        <v>22</v>
      </c>
      <c r="X29" s="79">
        <f t="shared" si="6"/>
        <v>44</v>
      </c>
      <c r="Y29" s="79">
        <v>22</v>
      </c>
      <c r="Z29" s="79">
        <v>96</v>
      </c>
      <c r="AA29" s="79">
        <v>92</v>
      </c>
      <c r="AB29" s="79">
        <f t="shared" si="7"/>
        <v>188</v>
      </c>
      <c r="AC29" s="79">
        <v>66</v>
      </c>
      <c r="AD29" s="79">
        <v>28</v>
      </c>
      <c r="AE29" s="79">
        <f t="shared" si="8"/>
        <v>94</v>
      </c>
      <c r="AF29" s="79">
        <v>21</v>
      </c>
      <c r="AG29" s="79">
        <v>21</v>
      </c>
      <c r="AH29" s="79">
        <f t="shared" si="9"/>
        <v>42</v>
      </c>
      <c r="AI29" s="82">
        <f t="shared" si="10"/>
        <v>777</v>
      </c>
      <c r="AJ29" s="106">
        <f t="shared" si="11"/>
        <v>91.411764705882348</v>
      </c>
      <c r="AK29" s="103" t="s">
        <v>326</v>
      </c>
      <c r="AL29" s="77">
        <f t="shared" si="12"/>
        <v>4</v>
      </c>
    </row>
    <row r="30" spans="1:38" x14ac:dyDescent="0.3">
      <c r="A30" s="77">
        <v>24</v>
      </c>
      <c r="B30" s="83">
        <v>265087</v>
      </c>
      <c r="C30" s="83">
        <v>23410260147</v>
      </c>
      <c r="D30" s="88" t="s">
        <v>58</v>
      </c>
      <c r="E30" s="79">
        <v>49</v>
      </c>
      <c r="F30" s="79">
        <v>22</v>
      </c>
      <c r="G30" s="79">
        <f t="shared" si="0"/>
        <v>71</v>
      </c>
      <c r="H30" s="79">
        <v>23</v>
      </c>
      <c r="I30" s="79">
        <v>23</v>
      </c>
      <c r="J30" s="79">
        <f t="shared" si="1"/>
        <v>46</v>
      </c>
      <c r="K30" s="79">
        <v>23</v>
      </c>
      <c r="L30" s="79">
        <v>47</v>
      </c>
      <c r="M30" s="79">
        <v>27</v>
      </c>
      <c r="N30" s="79">
        <f t="shared" si="2"/>
        <v>74</v>
      </c>
      <c r="O30" s="79">
        <v>23</v>
      </c>
      <c r="P30" s="79">
        <v>23</v>
      </c>
      <c r="Q30" s="79">
        <f t="shared" si="3"/>
        <v>46</v>
      </c>
      <c r="R30" s="79">
        <v>23</v>
      </c>
      <c r="S30" s="79">
        <v>21</v>
      </c>
      <c r="T30" s="79">
        <f t="shared" si="4"/>
        <v>44</v>
      </c>
      <c r="U30" s="79">
        <f t="shared" si="5"/>
        <v>65</v>
      </c>
      <c r="V30" s="79">
        <v>22</v>
      </c>
      <c r="W30" s="79">
        <v>19</v>
      </c>
      <c r="X30" s="79">
        <f t="shared" si="6"/>
        <v>41</v>
      </c>
      <c r="Y30" s="79">
        <v>22</v>
      </c>
      <c r="Z30" s="79">
        <v>92</v>
      </c>
      <c r="AA30" s="79">
        <v>92</v>
      </c>
      <c r="AB30" s="79">
        <f t="shared" si="7"/>
        <v>184</v>
      </c>
      <c r="AC30" s="79">
        <v>60</v>
      </c>
      <c r="AD30" s="79">
        <v>18</v>
      </c>
      <c r="AE30" s="79">
        <f t="shared" si="8"/>
        <v>78</v>
      </c>
      <c r="AF30" s="79">
        <v>21</v>
      </c>
      <c r="AG30" s="79">
        <v>21</v>
      </c>
      <c r="AH30" s="79">
        <f t="shared" si="9"/>
        <v>42</v>
      </c>
      <c r="AI30" s="82">
        <f t="shared" si="10"/>
        <v>715</v>
      </c>
      <c r="AJ30" s="106">
        <f t="shared" si="11"/>
        <v>84.117647058823536</v>
      </c>
      <c r="AK30" s="103" t="s">
        <v>326</v>
      </c>
      <c r="AL30" s="77">
        <f t="shared" si="12"/>
        <v>34</v>
      </c>
    </row>
    <row r="31" spans="1:38" s="74" customFormat="1" x14ac:dyDescent="0.3">
      <c r="A31" s="84">
        <v>25</v>
      </c>
      <c r="B31" s="85">
        <v>265088</v>
      </c>
      <c r="C31" s="85">
        <v>23410260148</v>
      </c>
      <c r="D31" s="89" t="s">
        <v>59</v>
      </c>
      <c r="E31" s="72">
        <v>40</v>
      </c>
      <c r="F31" s="72">
        <v>15</v>
      </c>
      <c r="G31" s="79">
        <f t="shared" si="0"/>
        <v>55</v>
      </c>
      <c r="H31" s="72">
        <v>21</v>
      </c>
      <c r="I31" s="72">
        <v>21</v>
      </c>
      <c r="J31" s="79">
        <f t="shared" si="1"/>
        <v>42</v>
      </c>
      <c r="K31" s="72">
        <v>22</v>
      </c>
      <c r="L31" s="72">
        <v>32</v>
      </c>
      <c r="M31" s="72">
        <v>29</v>
      </c>
      <c r="N31" s="79">
        <f t="shared" si="2"/>
        <v>61</v>
      </c>
      <c r="O31" s="72">
        <v>23</v>
      </c>
      <c r="P31" s="72">
        <v>23</v>
      </c>
      <c r="Q31" s="79">
        <f t="shared" si="3"/>
        <v>46</v>
      </c>
      <c r="R31" s="72">
        <v>23</v>
      </c>
      <c r="S31" s="72">
        <v>21</v>
      </c>
      <c r="T31" s="79">
        <v>41</v>
      </c>
      <c r="U31" s="79">
        <f t="shared" si="5"/>
        <v>62</v>
      </c>
      <c r="V31" s="72">
        <v>22</v>
      </c>
      <c r="W31" s="72">
        <v>19</v>
      </c>
      <c r="X31" s="79">
        <f t="shared" si="6"/>
        <v>41</v>
      </c>
      <c r="Y31" s="72">
        <v>22</v>
      </c>
      <c r="Z31" s="72">
        <v>92</v>
      </c>
      <c r="AA31" s="72">
        <v>92</v>
      </c>
      <c r="AB31" s="79">
        <f t="shared" si="7"/>
        <v>184</v>
      </c>
      <c r="AC31" s="72">
        <v>38</v>
      </c>
      <c r="AD31" s="72">
        <v>16</v>
      </c>
      <c r="AE31" s="79">
        <f t="shared" si="8"/>
        <v>54</v>
      </c>
      <c r="AF31" s="72">
        <v>21</v>
      </c>
      <c r="AG31" s="72">
        <v>21</v>
      </c>
      <c r="AH31" s="79">
        <f t="shared" si="9"/>
        <v>42</v>
      </c>
      <c r="AI31" s="86">
        <f t="shared" si="10"/>
        <v>654</v>
      </c>
      <c r="AJ31" s="106">
        <f t="shared" si="11"/>
        <v>76.941176470588232</v>
      </c>
      <c r="AK31" s="104" t="s">
        <v>326</v>
      </c>
      <c r="AL31" s="77">
        <f t="shared" si="12"/>
        <v>52</v>
      </c>
    </row>
    <row r="32" spans="1:38" x14ac:dyDescent="0.3">
      <c r="A32" s="77">
        <v>26</v>
      </c>
      <c r="B32" s="83">
        <v>265089</v>
      </c>
      <c r="C32" s="83">
        <v>23410260149</v>
      </c>
      <c r="D32" s="88" t="s">
        <v>60</v>
      </c>
      <c r="E32" s="79">
        <v>61</v>
      </c>
      <c r="F32" s="79">
        <v>27</v>
      </c>
      <c r="G32" s="79">
        <f t="shared" si="0"/>
        <v>88</v>
      </c>
      <c r="H32" s="79">
        <v>23</v>
      </c>
      <c r="I32" s="79">
        <v>23</v>
      </c>
      <c r="J32" s="79">
        <f t="shared" si="1"/>
        <v>46</v>
      </c>
      <c r="K32" s="79">
        <v>23</v>
      </c>
      <c r="L32" s="79">
        <v>65</v>
      </c>
      <c r="M32" s="79">
        <v>30</v>
      </c>
      <c r="N32" s="79">
        <f t="shared" si="2"/>
        <v>95</v>
      </c>
      <c r="O32" s="79">
        <v>23</v>
      </c>
      <c r="P32" s="79">
        <v>23</v>
      </c>
      <c r="Q32" s="79">
        <f t="shared" si="3"/>
        <v>46</v>
      </c>
      <c r="R32" s="79">
        <v>23</v>
      </c>
      <c r="S32" s="79">
        <v>22</v>
      </c>
      <c r="T32" s="79">
        <f t="shared" si="4"/>
        <v>45</v>
      </c>
      <c r="U32" s="79">
        <f t="shared" si="5"/>
        <v>67</v>
      </c>
      <c r="V32" s="79">
        <v>22</v>
      </c>
      <c r="W32" s="79">
        <v>20</v>
      </c>
      <c r="X32" s="79">
        <f t="shared" si="6"/>
        <v>42</v>
      </c>
      <c r="Y32" s="79">
        <v>22</v>
      </c>
      <c r="Z32" s="79">
        <v>94</v>
      </c>
      <c r="AA32" s="79">
        <v>94</v>
      </c>
      <c r="AB32" s="79">
        <f t="shared" si="7"/>
        <v>188</v>
      </c>
      <c r="AC32" s="79">
        <v>61</v>
      </c>
      <c r="AD32" s="79">
        <v>24</v>
      </c>
      <c r="AE32" s="79">
        <f t="shared" si="8"/>
        <v>85</v>
      </c>
      <c r="AF32" s="79">
        <v>21</v>
      </c>
      <c r="AG32" s="79">
        <v>21</v>
      </c>
      <c r="AH32" s="79">
        <f t="shared" si="9"/>
        <v>42</v>
      </c>
      <c r="AI32" s="82">
        <f t="shared" si="10"/>
        <v>767</v>
      </c>
      <c r="AJ32" s="106">
        <f t="shared" si="11"/>
        <v>90.235294117647058</v>
      </c>
      <c r="AK32" s="103" t="s">
        <v>326</v>
      </c>
      <c r="AL32" s="77">
        <f t="shared" si="12"/>
        <v>12</v>
      </c>
    </row>
    <row r="33" spans="1:38" x14ac:dyDescent="0.3">
      <c r="A33" s="77">
        <v>27</v>
      </c>
      <c r="B33" s="83">
        <v>265090</v>
      </c>
      <c r="C33" s="83">
        <v>23410260150</v>
      </c>
      <c r="D33" s="88" t="s">
        <v>61</v>
      </c>
      <c r="E33" s="79">
        <v>51</v>
      </c>
      <c r="F33" s="79">
        <v>23</v>
      </c>
      <c r="G33" s="79">
        <f t="shared" si="0"/>
        <v>74</v>
      </c>
      <c r="H33" s="79">
        <v>23</v>
      </c>
      <c r="I33" s="79">
        <v>23</v>
      </c>
      <c r="J33" s="79">
        <f t="shared" si="1"/>
        <v>46</v>
      </c>
      <c r="K33" s="79">
        <v>23</v>
      </c>
      <c r="L33" s="79">
        <v>65</v>
      </c>
      <c r="M33" s="79">
        <v>30</v>
      </c>
      <c r="N33" s="79">
        <f t="shared" si="2"/>
        <v>95</v>
      </c>
      <c r="O33" s="79">
        <v>23</v>
      </c>
      <c r="P33" s="79">
        <v>23</v>
      </c>
      <c r="Q33" s="79">
        <f t="shared" si="3"/>
        <v>46</v>
      </c>
      <c r="R33" s="79">
        <v>23</v>
      </c>
      <c r="S33" s="79">
        <v>22</v>
      </c>
      <c r="T33" s="79">
        <f t="shared" si="4"/>
        <v>45</v>
      </c>
      <c r="U33" s="79">
        <f t="shared" si="5"/>
        <v>67</v>
      </c>
      <c r="V33" s="79">
        <v>22</v>
      </c>
      <c r="W33" s="79">
        <v>19</v>
      </c>
      <c r="X33" s="79">
        <f t="shared" si="6"/>
        <v>41</v>
      </c>
      <c r="Y33" s="79">
        <v>22</v>
      </c>
      <c r="Z33" s="79">
        <v>92</v>
      </c>
      <c r="AA33" s="79">
        <v>92</v>
      </c>
      <c r="AB33" s="79">
        <f t="shared" si="7"/>
        <v>184</v>
      </c>
      <c r="AC33" s="79">
        <v>61</v>
      </c>
      <c r="AD33" s="79">
        <v>23</v>
      </c>
      <c r="AE33" s="79">
        <f t="shared" si="8"/>
        <v>84</v>
      </c>
      <c r="AF33" s="79">
        <v>22</v>
      </c>
      <c r="AG33" s="79">
        <v>22</v>
      </c>
      <c r="AH33" s="79">
        <f t="shared" si="9"/>
        <v>44</v>
      </c>
      <c r="AI33" s="82">
        <f t="shared" si="10"/>
        <v>749</v>
      </c>
      <c r="AJ33" s="106">
        <f t="shared" si="11"/>
        <v>88.117647058823536</v>
      </c>
      <c r="AK33" s="103" t="s">
        <v>326</v>
      </c>
      <c r="AL33" s="77">
        <f t="shared" si="12"/>
        <v>19</v>
      </c>
    </row>
    <row r="34" spans="1:38" x14ac:dyDescent="0.3">
      <c r="A34" s="77">
        <v>28</v>
      </c>
      <c r="B34" s="83">
        <v>265091</v>
      </c>
      <c r="C34" s="83">
        <v>23410260151</v>
      </c>
      <c r="D34" s="88" t="s">
        <v>62</v>
      </c>
      <c r="E34" s="79">
        <v>45</v>
      </c>
      <c r="F34" s="79">
        <v>23</v>
      </c>
      <c r="G34" s="79">
        <f t="shared" si="0"/>
        <v>68</v>
      </c>
      <c r="H34" s="79">
        <v>23</v>
      </c>
      <c r="I34" s="79">
        <v>23</v>
      </c>
      <c r="J34" s="79">
        <f t="shared" si="1"/>
        <v>46</v>
      </c>
      <c r="K34" s="79">
        <v>23</v>
      </c>
      <c r="L34" s="79">
        <v>41</v>
      </c>
      <c r="M34" s="79">
        <v>29</v>
      </c>
      <c r="N34" s="79">
        <f t="shared" si="2"/>
        <v>70</v>
      </c>
      <c r="O34" s="79">
        <v>23</v>
      </c>
      <c r="P34" s="79">
        <v>23</v>
      </c>
      <c r="Q34" s="79">
        <f t="shared" si="3"/>
        <v>46</v>
      </c>
      <c r="R34" s="79">
        <v>23</v>
      </c>
      <c r="S34" s="79">
        <v>21</v>
      </c>
      <c r="T34" s="79">
        <f t="shared" si="4"/>
        <v>44</v>
      </c>
      <c r="U34" s="79">
        <f t="shared" si="5"/>
        <v>65</v>
      </c>
      <c r="V34" s="79">
        <v>22</v>
      </c>
      <c r="W34" s="79">
        <v>22</v>
      </c>
      <c r="X34" s="79">
        <f t="shared" si="6"/>
        <v>44</v>
      </c>
      <c r="Y34" s="79">
        <v>22</v>
      </c>
      <c r="Z34" s="79">
        <v>92</v>
      </c>
      <c r="AA34" s="79">
        <v>92</v>
      </c>
      <c r="AB34" s="79">
        <f t="shared" si="7"/>
        <v>184</v>
      </c>
      <c r="AC34" s="79">
        <v>50</v>
      </c>
      <c r="AD34" s="79">
        <v>15</v>
      </c>
      <c r="AE34" s="79">
        <f t="shared" si="8"/>
        <v>65</v>
      </c>
      <c r="AF34" s="79">
        <v>21</v>
      </c>
      <c r="AG34" s="79">
        <v>21</v>
      </c>
      <c r="AH34" s="79">
        <f t="shared" si="9"/>
        <v>42</v>
      </c>
      <c r="AI34" s="82">
        <f t="shared" si="10"/>
        <v>698</v>
      </c>
      <c r="AJ34" s="106">
        <f t="shared" si="11"/>
        <v>82.117647058823522</v>
      </c>
      <c r="AK34" s="103" t="s">
        <v>326</v>
      </c>
      <c r="AL34" s="77">
        <f t="shared" si="12"/>
        <v>38</v>
      </c>
    </row>
    <row r="35" spans="1:38" x14ac:dyDescent="0.3">
      <c r="A35" s="77">
        <v>29</v>
      </c>
      <c r="B35" s="83">
        <v>265092</v>
      </c>
      <c r="C35" s="83">
        <v>23410260152</v>
      </c>
      <c r="D35" s="88" t="s">
        <v>63</v>
      </c>
      <c r="E35" s="79">
        <v>50</v>
      </c>
      <c r="F35" s="79">
        <v>19</v>
      </c>
      <c r="G35" s="79">
        <f t="shared" si="0"/>
        <v>69</v>
      </c>
      <c r="H35" s="79">
        <v>22</v>
      </c>
      <c r="I35" s="79">
        <v>22</v>
      </c>
      <c r="J35" s="79">
        <f t="shared" si="1"/>
        <v>44</v>
      </c>
      <c r="K35" s="79">
        <v>22</v>
      </c>
      <c r="L35" s="79">
        <v>56</v>
      </c>
      <c r="M35" s="79">
        <v>26</v>
      </c>
      <c r="N35" s="79">
        <f t="shared" si="2"/>
        <v>82</v>
      </c>
      <c r="O35" s="79">
        <v>22</v>
      </c>
      <c r="P35" s="79">
        <v>22</v>
      </c>
      <c r="Q35" s="79">
        <f t="shared" si="3"/>
        <v>44</v>
      </c>
      <c r="R35" s="79">
        <v>22</v>
      </c>
      <c r="S35" s="79">
        <v>22</v>
      </c>
      <c r="T35" s="79">
        <f t="shared" si="4"/>
        <v>44</v>
      </c>
      <c r="U35" s="79">
        <f t="shared" si="5"/>
        <v>66</v>
      </c>
      <c r="V35" s="79">
        <v>22</v>
      </c>
      <c r="W35" s="79">
        <v>21</v>
      </c>
      <c r="X35" s="79">
        <f t="shared" si="6"/>
        <v>43</v>
      </c>
      <c r="Y35" s="79">
        <v>22</v>
      </c>
      <c r="Z35" s="79">
        <v>92</v>
      </c>
      <c r="AA35" s="79">
        <v>92</v>
      </c>
      <c r="AB35" s="79">
        <f t="shared" si="7"/>
        <v>184</v>
      </c>
      <c r="AC35" s="79">
        <v>50</v>
      </c>
      <c r="AD35" s="79">
        <v>17</v>
      </c>
      <c r="AE35" s="79">
        <f t="shared" si="8"/>
        <v>67</v>
      </c>
      <c r="AF35" s="79">
        <v>21</v>
      </c>
      <c r="AG35" s="79">
        <v>21</v>
      </c>
      <c r="AH35" s="79">
        <f t="shared" si="9"/>
        <v>42</v>
      </c>
      <c r="AI35" s="82">
        <f t="shared" si="10"/>
        <v>707</v>
      </c>
      <c r="AJ35" s="106">
        <f t="shared" si="11"/>
        <v>83.17647058823529</v>
      </c>
      <c r="AK35" s="103" t="s">
        <v>326</v>
      </c>
      <c r="AL35" s="77">
        <f t="shared" si="12"/>
        <v>36</v>
      </c>
    </row>
    <row r="36" spans="1:38" x14ac:dyDescent="0.3">
      <c r="A36" s="77">
        <v>30</v>
      </c>
      <c r="B36" s="83">
        <v>265093</v>
      </c>
      <c r="C36" s="83">
        <v>23410260153</v>
      </c>
      <c r="D36" s="88" t="s">
        <v>64</v>
      </c>
      <c r="E36" s="79">
        <v>57</v>
      </c>
      <c r="F36" s="79">
        <v>30</v>
      </c>
      <c r="G36" s="79">
        <f t="shared" si="0"/>
        <v>87</v>
      </c>
      <c r="H36" s="79">
        <v>24</v>
      </c>
      <c r="I36" s="79">
        <v>23</v>
      </c>
      <c r="J36" s="79">
        <f t="shared" si="1"/>
        <v>47</v>
      </c>
      <c r="K36" s="79">
        <v>24</v>
      </c>
      <c r="L36" s="79">
        <v>49</v>
      </c>
      <c r="M36" s="79">
        <v>30</v>
      </c>
      <c r="N36" s="79">
        <f t="shared" si="2"/>
        <v>79</v>
      </c>
      <c r="O36" s="79">
        <v>23</v>
      </c>
      <c r="P36" s="79">
        <v>23</v>
      </c>
      <c r="Q36" s="79">
        <f t="shared" si="3"/>
        <v>46</v>
      </c>
      <c r="R36" s="79">
        <v>23</v>
      </c>
      <c r="S36" s="79">
        <v>23</v>
      </c>
      <c r="T36" s="79">
        <f t="shared" si="4"/>
        <v>46</v>
      </c>
      <c r="U36" s="79">
        <f t="shared" si="5"/>
        <v>69</v>
      </c>
      <c r="V36" s="79">
        <v>23</v>
      </c>
      <c r="W36" s="79">
        <v>23</v>
      </c>
      <c r="X36" s="79">
        <f t="shared" si="6"/>
        <v>46</v>
      </c>
      <c r="Y36" s="79">
        <v>23</v>
      </c>
      <c r="Z36" s="79">
        <v>96</v>
      </c>
      <c r="AA36" s="79">
        <v>96</v>
      </c>
      <c r="AB36" s="79">
        <f t="shared" si="7"/>
        <v>192</v>
      </c>
      <c r="AC36" s="79">
        <v>65</v>
      </c>
      <c r="AD36" s="79">
        <v>30</v>
      </c>
      <c r="AE36" s="79">
        <f t="shared" si="8"/>
        <v>95</v>
      </c>
      <c r="AF36" s="79">
        <v>23</v>
      </c>
      <c r="AG36" s="79">
        <v>23</v>
      </c>
      <c r="AH36" s="79">
        <f t="shared" si="9"/>
        <v>46</v>
      </c>
      <c r="AI36" s="82">
        <f t="shared" si="10"/>
        <v>777</v>
      </c>
      <c r="AJ36" s="106">
        <f t="shared" si="11"/>
        <v>91.411764705882348</v>
      </c>
      <c r="AK36" s="103" t="s">
        <v>326</v>
      </c>
      <c r="AL36" s="77">
        <f t="shared" si="12"/>
        <v>4</v>
      </c>
    </row>
    <row r="37" spans="1:38" x14ac:dyDescent="0.3">
      <c r="A37" s="77">
        <v>31</v>
      </c>
      <c r="B37" s="83">
        <v>265094</v>
      </c>
      <c r="C37" s="83">
        <v>23410260156</v>
      </c>
      <c r="D37" s="88" t="s">
        <v>65</v>
      </c>
      <c r="E37" s="79">
        <v>64</v>
      </c>
      <c r="F37" s="79">
        <v>30</v>
      </c>
      <c r="G37" s="79">
        <f t="shared" si="0"/>
        <v>94</v>
      </c>
      <c r="H37" s="79">
        <v>24</v>
      </c>
      <c r="I37" s="79">
        <v>23</v>
      </c>
      <c r="J37" s="79">
        <f t="shared" si="1"/>
        <v>47</v>
      </c>
      <c r="K37" s="79">
        <v>24</v>
      </c>
      <c r="L37" s="79">
        <v>67</v>
      </c>
      <c r="M37" s="79">
        <v>30</v>
      </c>
      <c r="N37" s="79">
        <f t="shared" si="2"/>
        <v>97</v>
      </c>
      <c r="O37" s="79">
        <v>23</v>
      </c>
      <c r="P37" s="79">
        <v>23</v>
      </c>
      <c r="Q37" s="79">
        <f t="shared" si="3"/>
        <v>46</v>
      </c>
      <c r="R37" s="79">
        <v>23</v>
      </c>
      <c r="S37" s="79">
        <v>22</v>
      </c>
      <c r="T37" s="79">
        <v>43</v>
      </c>
      <c r="U37" s="79">
        <f t="shared" si="5"/>
        <v>65</v>
      </c>
      <c r="V37" s="79">
        <v>22</v>
      </c>
      <c r="W37" s="79">
        <v>22</v>
      </c>
      <c r="X37" s="79">
        <f t="shared" si="6"/>
        <v>44</v>
      </c>
      <c r="Y37" s="79">
        <v>22</v>
      </c>
      <c r="Z37" s="79">
        <v>96</v>
      </c>
      <c r="AA37" s="79">
        <v>96</v>
      </c>
      <c r="AB37" s="79">
        <f t="shared" si="7"/>
        <v>192</v>
      </c>
      <c r="AC37" s="79">
        <v>65</v>
      </c>
      <c r="AD37" s="79">
        <v>27</v>
      </c>
      <c r="AE37" s="79">
        <f t="shared" si="8"/>
        <v>92</v>
      </c>
      <c r="AF37" s="79">
        <v>21</v>
      </c>
      <c r="AG37" s="79">
        <v>21</v>
      </c>
      <c r="AH37" s="79">
        <f t="shared" si="9"/>
        <v>42</v>
      </c>
      <c r="AI37" s="82">
        <f t="shared" si="10"/>
        <v>788</v>
      </c>
      <c r="AJ37" s="106">
        <f t="shared" si="11"/>
        <v>92.705882352941174</v>
      </c>
      <c r="AK37" s="103" t="s">
        <v>326</v>
      </c>
      <c r="AL37" s="77">
        <f t="shared" si="12"/>
        <v>1</v>
      </c>
    </row>
    <row r="38" spans="1:38" x14ac:dyDescent="0.3">
      <c r="A38" s="77">
        <v>32</v>
      </c>
      <c r="B38" s="83">
        <v>265095</v>
      </c>
      <c r="C38" s="83">
        <v>23410260157</v>
      </c>
      <c r="D38" s="88" t="s">
        <v>66</v>
      </c>
      <c r="E38" s="79">
        <v>9</v>
      </c>
      <c r="F38" s="79">
        <v>4</v>
      </c>
      <c r="G38" s="79">
        <f t="shared" si="0"/>
        <v>13</v>
      </c>
      <c r="H38" s="79">
        <v>20</v>
      </c>
      <c r="I38" s="79">
        <v>20</v>
      </c>
      <c r="J38" s="79">
        <f t="shared" si="1"/>
        <v>40</v>
      </c>
      <c r="K38" s="79">
        <v>22</v>
      </c>
      <c r="L38" s="79">
        <v>17</v>
      </c>
      <c r="M38" s="79">
        <v>28</v>
      </c>
      <c r="N38" s="79">
        <f t="shared" si="2"/>
        <v>45</v>
      </c>
      <c r="O38" s="79">
        <v>23</v>
      </c>
      <c r="P38" s="79">
        <v>23</v>
      </c>
      <c r="Q38" s="79">
        <f t="shared" si="3"/>
        <v>46</v>
      </c>
      <c r="R38" s="79">
        <v>23</v>
      </c>
      <c r="S38" s="79">
        <v>17</v>
      </c>
      <c r="T38" s="79">
        <v>35</v>
      </c>
      <c r="U38" s="79">
        <f t="shared" si="5"/>
        <v>52</v>
      </c>
      <c r="V38" s="79">
        <v>22</v>
      </c>
      <c r="W38" s="79">
        <v>22</v>
      </c>
      <c r="X38" s="79">
        <f t="shared" si="6"/>
        <v>44</v>
      </c>
      <c r="Y38" s="79">
        <v>22</v>
      </c>
      <c r="Z38" s="79">
        <v>90</v>
      </c>
      <c r="AA38" s="79">
        <v>90</v>
      </c>
      <c r="AB38" s="79">
        <f t="shared" si="7"/>
        <v>180</v>
      </c>
      <c r="AC38" s="79">
        <v>3</v>
      </c>
      <c r="AD38" s="79">
        <v>13</v>
      </c>
      <c r="AE38" s="79">
        <f t="shared" si="8"/>
        <v>16</v>
      </c>
      <c r="AF38" s="79">
        <v>21</v>
      </c>
      <c r="AG38" s="79">
        <v>21</v>
      </c>
      <c r="AH38" s="79">
        <f t="shared" si="9"/>
        <v>42</v>
      </c>
      <c r="AI38" s="82">
        <f t="shared" si="10"/>
        <v>545</v>
      </c>
      <c r="AJ38" s="106">
        <f t="shared" si="11"/>
        <v>64.117647058823536</v>
      </c>
      <c r="AK38" s="103" t="s">
        <v>325</v>
      </c>
      <c r="AL38" s="77">
        <f t="shared" si="12"/>
        <v>57</v>
      </c>
    </row>
    <row r="39" spans="1:38" x14ac:dyDescent="0.3">
      <c r="A39" s="77">
        <v>33</v>
      </c>
      <c r="B39" s="83">
        <v>265096</v>
      </c>
      <c r="C39" s="83">
        <v>23410260158</v>
      </c>
      <c r="D39" s="88" t="s">
        <v>67</v>
      </c>
      <c r="E39" s="79">
        <v>54</v>
      </c>
      <c r="F39" s="79">
        <v>18</v>
      </c>
      <c r="G39" s="79">
        <f t="shared" si="0"/>
        <v>72</v>
      </c>
      <c r="H39" s="79">
        <v>21</v>
      </c>
      <c r="I39" s="79">
        <v>22</v>
      </c>
      <c r="J39" s="79">
        <f t="shared" si="1"/>
        <v>43</v>
      </c>
      <c r="K39" s="79">
        <v>22</v>
      </c>
      <c r="L39" s="79">
        <v>58</v>
      </c>
      <c r="M39" s="79">
        <v>28</v>
      </c>
      <c r="N39" s="79">
        <f t="shared" si="2"/>
        <v>86</v>
      </c>
      <c r="O39" s="79">
        <v>23</v>
      </c>
      <c r="P39" s="79">
        <v>23</v>
      </c>
      <c r="Q39" s="79">
        <f t="shared" si="3"/>
        <v>46</v>
      </c>
      <c r="R39" s="79">
        <v>23</v>
      </c>
      <c r="S39" s="79">
        <v>21</v>
      </c>
      <c r="T39" s="79">
        <v>43</v>
      </c>
      <c r="U39" s="79">
        <f t="shared" si="5"/>
        <v>64</v>
      </c>
      <c r="V39" s="79">
        <v>22</v>
      </c>
      <c r="W39" s="79">
        <v>22</v>
      </c>
      <c r="X39" s="79">
        <f t="shared" si="6"/>
        <v>44</v>
      </c>
      <c r="Y39" s="79">
        <v>22</v>
      </c>
      <c r="Z39" s="79">
        <v>86</v>
      </c>
      <c r="AA39" s="79">
        <v>86</v>
      </c>
      <c r="AB39" s="79">
        <f t="shared" si="7"/>
        <v>172</v>
      </c>
      <c r="AC39" s="79">
        <v>57</v>
      </c>
      <c r="AD39" s="79">
        <v>25</v>
      </c>
      <c r="AE39" s="79">
        <f t="shared" si="8"/>
        <v>82</v>
      </c>
      <c r="AF39" s="79">
        <v>21</v>
      </c>
      <c r="AG39" s="79">
        <v>21</v>
      </c>
      <c r="AH39" s="79">
        <f t="shared" si="9"/>
        <v>42</v>
      </c>
      <c r="AI39" s="82">
        <f t="shared" si="10"/>
        <v>718</v>
      </c>
      <c r="AJ39" s="106">
        <f t="shared" si="11"/>
        <v>84.470588235294116</v>
      </c>
      <c r="AK39" s="103" t="s">
        <v>326</v>
      </c>
      <c r="AL39" s="77">
        <f t="shared" si="12"/>
        <v>32</v>
      </c>
    </row>
    <row r="40" spans="1:38" x14ac:dyDescent="0.3">
      <c r="A40" s="77">
        <v>34</v>
      </c>
      <c r="B40" s="83">
        <v>265097</v>
      </c>
      <c r="C40" s="83">
        <v>23410260159</v>
      </c>
      <c r="D40" s="88" t="s">
        <v>68</v>
      </c>
      <c r="E40" s="79">
        <v>59</v>
      </c>
      <c r="F40" s="79">
        <v>30</v>
      </c>
      <c r="G40" s="79">
        <f t="shared" si="0"/>
        <v>89</v>
      </c>
      <c r="H40" s="79">
        <v>24</v>
      </c>
      <c r="I40" s="79">
        <v>23</v>
      </c>
      <c r="J40" s="79">
        <f t="shared" si="1"/>
        <v>47</v>
      </c>
      <c r="K40" s="79">
        <v>24</v>
      </c>
      <c r="L40" s="79">
        <v>69</v>
      </c>
      <c r="M40" s="79">
        <v>30</v>
      </c>
      <c r="N40" s="79">
        <f t="shared" si="2"/>
        <v>99</v>
      </c>
      <c r="O40" s="79">
        <v>23</v>
      </c>
      <c r="P40" s="79">
        <v>23</v>
      </c>
      <c r="Q40" s="79">
        <f t="shared" si="3"/>
        <v>46</v>
      </c>
      <c r="R40" s="79">
        <v>23</v>
      </c>
      <c r="S40" s="79">
        <v>22</v>
      </c>
      <c r="T40" s="79">
        <f t="shared" si="4"/>
        <v>45</v>
      </c>
      <c r="U40" s="79">
        <f t="shared" si="5"/>
        <v>67</v>
      </c>
      <c r="V40" s="79">
        <v>22</v>
      </c>
      <c r="W40" s="79">
        <v>23</v>
      </c>
      <c r="X40" s="79">
        <f t="shared" si="6"/>
        <v>45</v>
      </c>
      <c r="Y40" s="79">
        <v>22</v>
      </c>
      <c r="Z40" s="79">
        <v>88</v>
      </c>
      <c r="AA40" s="79">
        <v>88</v>
      </c>
      <c r="AB40" s="79">
        <f t="shared" si="7"/>
        <v>176</v>
      </c>
      <c r="AC40" s="79">
        <v>60</v>
      </c>
      <c r="AD40" s="79">
        <v>22</v>
      </c>
      <c r="AE40" s="79">
        <f t="shared" si="8"/>
        <v>82</v>
      </c>
      <c r="AF40" s="79">
        <v>22</v>
      </c>
      <c r="AG40" s="79">
        <v>22</v>
      </c>
      <c r="AH40" s="79">
        <f t="shared" si="9"/>
        <v>44</v>
      </c>
      <c r="AI40" s="82">
        <f t="shared" si="10"/>
        <v>764</v>
      </c>
      <c r="AJ40" s="106">
        <f t="shared" si="11"/>
        <v>89.882352941176464</v>
      </c>
      <c r="AK40" s="103" t="s">
        <v>326</v>
      </c>
      <c r="AL40" s="77">
        <f t="shared" si="12"/>
        <v>14</v>
      </c>
    </row>
    <row r="41" spans="1:38" x14ac:dyDescent="0.3">
      <c r="A41" s="77">
        <v>35</v>
      </c>
      <c r="B41" s="83">
        <v>265098</v>
      </c>
      <c r="C41" s="83">
        <v>23410260161</v>
      </c>
      <c r="D41" s="88" t="s">
        <v>69</v>
      </c>
      <c r="E41" s="79">
        <v>53</v>
      </c>
      <c r="F41" s="79">
        <v>29</v>
      </c>
      <c r="G41" s="79">
        <f t="shared" si="0"/>
        <v>82</v>
      </c>
      <c r="H41" s="79">
        <v>23</v>
      </c>
      <c r="I41" s="79">
        <v>23</v>
      </c>
      <c r="J41" s="79">
        <f t="shared" si="1"/>
        <v>46</v>
      </c>
      <c r="K41" s="79">
        <v>23</v>
      </c>
      <c r="L41" s="79">
        <v>65</v>
      </c>
      <c r="M41" s="79">
        <v>30</v>
      </c>
      <c r="N41" s="79">
        <f t="shared" si="2"/>
        <v>95</v>
      </c>
      <c r="O41" s="79">
        <v>23</v>
      </c>
      <c r="P41" s="79">
        <v>23</v>
      </c>
      <c r="Q41" s="79">
        <f t="shared" si="3"/>
        <v>46</v>
      </c>
      <c r="R41" s="79">
        <v>23</v>
      </c>
      <c r="S41" s="79">
        <v>22</v>
      </c>
      <c r="T41" s="79">
        <f t="shared" si="4"/>
        <v>45</v>
      </c>
      <c r="U41" s="79">
        <f t="shared" si="5"/>
        <v>67</v>
      </c>
      <c r="V41" s="79">
        <v>22</v>
      </c>
      <c r="W41" s="79">
        <v>23</v>
      </c>
      <c r="X41" s="79">
        <f t="shared" si="6"/>
        <v>45</v>
      </c>
      <c r="Y41" s="79">
        <v>22</v>
      </c>
      <c r="Z41" s="79">
        <v>90</v>
      </c>
      <c r="AA41" s="79">
        <v>90</v>
      </c>
      <c r="AB41" s="79">
        <f t="shared" si="7"/>
        <v>180</v>
      </c>
      <c r="AC41" s="79">
        <v>69</v>
      </c>
      <c r="AD41" s="79">
        <v>28</v>
      </c>
      <c r="AE41" s="79">
        <f t="shared" si="8"/>
        <v>97</v>
      </c>
      <c r="AF41" s="79">
        <v>23</v>
      </c>
      <c r="AG41" s="79">
        <v>23</v>
      </c>
      <c r="AH41" s="79">
        <f t="shared" si="9"/>
        <v>46</v>
      </c>
      <c r="AI41" s="82">
        <f t="shared" si="10"/>
        <v>772</v>
      </c>
      <c r="AJ41" s="106">
        <f t="shared" si="11"/>
        <v>90.823529411764696</v>
      </c>
      <c r="AK41" s="103" t="s">
        <v>326</v>
      </c>
      <c r="AL41" s="77">
        <f t="shared" si="12"/>
        <v>8</v>
      </c>
    </row>
    <row r="42" spans="1:38" x14ac:dyDescent="0.3">
      <c r="A42" s="77">
        <v>36</v>
      </c>
      <c r="B42" s="83">
        <v>265099</v>
      </c>
      <c r="C42" s="83">
        <v>23410260162</v>
      </c>
      <c r="D42" s="88" t="s">
        <v>70</v>
      </c>
      <c r="E42" s="79">
        <v>58</v>
      </c>
      <c r="F42" s="79">
        <v>28</v>
      </c>
      <c r="G42" s="79">
        <f t="shared" si="0"/>
        <v>86</v>
      </c>
      <c r="H42" s="79">
        <v>23</v>
      </c>
      <c r="I42" s="79">
        <v>23</v>
      </c>
      <c r="J42" s="79">
        <f t="shared" si="1"/>
        <v>46</v>
      </c>
      <c r="K42" s="79">
        <v>23</v>
      </c>
      <c r="L42" s="79">
        <v>56</v>
      </c>
      <c r="M42" s="79">
        <v>30</v>
      </c>
      <c r="N42" s="79">
        <f t="shared" si="2"/>
        <v>86</v>
      </c>
      <c r="O42" s="79">
        <v>23</v>
      </c>
      <c r="P42" s="79">
        <v>23</v>
      </c>
      <c r="Q42" s="79">
        <f t="shared" si="3"/>
        <v>46</v>
      </c>
      <c r="R42" s="79">
        <v>23</v>
      </c>
      <c r="S42" s="79">
        <v>22</v>
      </c>
      <c r="T42" s="79">
        <f t="shared" si="4"/>
        <v>45</v>
      </c>
      <c r="U42" s="79">
        <f t="shared" si="5"/>
        <v>67</v>
      </c>
      <c r="V42" s="79">
        <v>23</v>
      </c>
      <c r="W42" s="79">
        <v>23</v>
      </c>
      <c r="X42" s="79">
        <f t="shared" si="6"/>
        <v>46</v>
      </c>
      <c r="Y42" s="79">
        <v>23</v>
      </c>
      <c r="Z42" s="79">
        <v>89</v>
      </c>
      <c r="AA42" s="79">
        <v>87</v>
      </c>
      <c r="AB42" s="79">
        <f t="shared" si="7"/>
        <v>176</v>
      </c>
      <c r="AC42" s="79">
        <v>61</v>
      </c>
      <c r="AD42" s="79">
        <v>28</v>
      </c>
      <c r="AE42" s="79">
        <f t="shared" si="8"/>
        <v>89</v>
      </c>
      <c r="AF42" s="79">
        <v>22</v>
      </c>
      <c r="AG42" s="79">
        <v>22</v>
      </c>
      <c r="AH42" s="79">
        <f t="shared" si="9"/>
        <v>44</v>
      </c>
      <c r="AI42" s="82">
        <f t="shared" si="10"/>
        <v>755</v>
      </c>
      <c r="AJ42" s="106">
        <f t="shared" si="11"/>
        <v>88.823529411764696</v>
      </c>
      <c r="AK42" s="103" t="s">
        <v>326</v>
      </c>
      <c r="AL42" s="77">
        <f t="shared" si="12"/>
        <v>17</v>
      </c>
    </row>
    <row r="43" spans="1:38" x14ac:dyDescent="0.3">
      <c r="A43" s="77">
        <v>37</v>
      </c>
      <c r="B43" s="83">
        <v>265100</v>
      </c>
      <c r="C43" s="83">
        <v>23410260163</v>
      </c>
      <c r="D43" s="88" t="s">
        <v>71</v>
      </c>
      <c r="E43" s="79">
        <v>57</v>
      </c>
      <c r="F43" s="79">
        <v>21</v>
      </c>
      <c r="G43" s="79">
        <f t="shared" si="0"/>
        <v>78</v>
      </c>
      <c r="H43" s="79">
        <v>23</v>
      </c>
      <c r="I43" s="79">
        <v>22</v>
      </c>
      <c r="J43" s="79">
        <f t="shared" si="1"/>
        <v>45</v>
      </c>
      <c r="K43" s="79">
        <v>22</v>
      </c>
      <c r="L43" s="79">
        <v>65</v>
      </c>
      <c r="M43" s="79">
        <v>30</v>
      </c>
      <c r="N43" s="79">
        <f t="shared" si="2"/>
        <v>95</v>
      </c>
      <c r="O43" s="79">
        <v>23</v>
      </c>
      <c r="P43" s="79">
        <v>23</v>
      </c>
      <c r="Q43" s="79">
        <f t="shared" si="3"/>
        <v>46</v>
      </c>
      <c r="R43" s="79">
        <v>23</v>
      </c>
      <c r="S43" s="79">
        <v>22</v>
      </c>
      <c r="T43" s="79">
        <f t="shared" si="4"/>
        <v>45</v>
      </c>
      <c r="U43" s="79">
        <f t="shared" si="5"/>
        <v>67</v>
      </c>
      <c r="V43" s="79">
        <v>23</v>
      </c>
      <c r="W43" s="79">
        <v>23</v>
      </c>
      <c r="X43" s="79">
        <f t="shared" si="6"/>
        <v>46</v>
      </c>
      <c r="Y43" s="79">
        <v>23</v>
      </c>
      <c r="Z43" s="79">
        <v>86</v>
      </c>
      <c r="AA43" s="79">
        <v>84</v>
      </c>
      <c r="AB43" s="79">
        <f t="shared" si="7"/>
        <v>170</v>
      </c>
      <c r="AC43" s="79">
        <v>57</v>
      </c>
      <c r="AD43" s="79">
        <v>24</v>
      </c>
      <c r="AE43" s="79">
        <f t="shared" si="8"/>
        <v>81</v>
      </c>
      <c r="AF43" s="79">
        <v>22</v>
      </c>
      <c r="AG43" s="79">
        <v>22</v>
      </c>
      <c r="AH43" s="79">
        <f t="shared" si="9"/>
        <v>44</v>
      </c>
      <c r="AI43" s="82">
        <f t="shared" si="10"/>
        <v>740</v>
      </c>
      <c r="AJ43" s="106">
        <f t="shared" si="11"/>
        <v>87.058823529411768</v>
      </c>
      <c r="AK43" s="103" t="s">
        <v>326</v>
      </c>
      <c r="AL43" s="77">
        <f t="shared" si="12"/>
        <v>23</v>
      </c>
    </row>
    <row r="44" spans="1:38" x14ac:dyDescent="0.3">
      <c r="A44" s="77">
        <v>38</v>
      </c>
      <c r="B44" s="83">
        <v>265101</v>
      </c>
      <c r="C44" s="83">
        <v>23410260165</v>
      </c>
      <c r="D44" s="88" t="s">
        <v>72</v>
      </c>
      <c r="E44" s="79">
        <v>50</v>
      </c>
      <c r="F44" s="79">
        <v>25</v>
      </c>
      <c r="G44" s="79">
        <f t="shared" si="0"/>
        <v>75</v>
      </c>
      <c r="H44" s="79">
        <v>23</v>
      </c>
      <c r="I44" s="79">
        <v>23</v>
      </c>
      <c r="J44" s="79">
        <f t="shared" si="1"/>
        <v>46</v>
      </c>
      <c r="K44" s="79">
        <v>23</v>
      </c>
      <c r="L44" s="79">
        <v>56</v>
      </c>
      <c r="M44" s="79">
        <v>28</v>
      </c>
      <c r="N44" s="79">
        <f t="shared" si="2"/>
        <v>84</v>
      </c>
      <c r="O44" s="79">
        <v>23</v>
      </c>
      <c r="P44" s="79">
        <v>23</v>
      </c>
      <c r="Q44" s="79">
        <f t="shared" si="3"/>
        <v>46</v>
      </c>
      <c r="R44" s="79">
        <v>23</v>
      </c>
      <c r="S44" s="79">
        <v>21</v>
      </c>
      <c r="T44" s="79">
        <f t="shared" si="4"/>
        <v>44</v>
      </c>
      <c r="U44" s="79">
        <f t="shared" si="5"/>
        <v>65</v>
      </c>
      <c r="V44" s="79">
        <v>23</v>
      </c>
      <c r="W44" s="79">
        <v>23</v>
      </c>
      <c r="X44" s="79">
        <f t="shared" si="6"/>
        <v>46</v>
      </c>
      <c r="Y44" s="79">
        <v>23</v>
      </c>
      <c r="Z44" s="79">
        <v>86</v>
      </c>
      <c r="AA44" s="79">
        <v>90</v>
      </c>
      <c r="AB44" s="79">
        <f t="shared" si="7"/>
        <v>176</v>
      </c>
      <c r="AC44" s="79">
        <v>64</v>
      </c>
      <c r="AD44" s="79">
        <v>25</v>
      </c>
      <c r="AE44" s="79">
        <f t="shared" si="8"/>
        <v>89</v>
      </c>
      <c r="AF44" s="79">
        <v>21</v>
      </c>
      <c r="AG44" s="79">
        <v>21</v>
      </c>
      <c r="AH44" s="79">
        <f t="shared" si="9"/>
        <v>42</v>
      </c>
      <c r="AI44" s="82">
        <f t="shared" si="10"/>
        <v>738</v>
      </c>
      <c r="AJ44" s="106">
        <f t="shared" si="11"/>
        <v>86.82352941176471</v>
      </c>
      <c r="AK44" s="103" t="s">
        <v>326</v>
      </c>
      <c r="AL44" s="77">
        <f t="shared" si="12"/>
        <v>26</v>
      </c>
    </row>
    <row r="45" spans="1:38" x14ac:dyDescent="0.3">
      <c r="A45" s="77">
        <v>39</v>
      </c>
      <c r="B45" s="83">
        <v>265102</v>
      </c>
      <c r="C45" s="83">
        <v>23410260167</v>
      </c>
      <c r="D45" s="88" t="s">
        <v>73</v>
      </c>
      <c r="E45" s="79">
        <v>13</v>
      </c>
      <c r="F45" s="79">
        <v>10</v>
      </c>
      <c r="G45" s="79">
        <f t="shared" si="0"/>
        <v>23</v>
      </c>
      <c r="H45" s="79">
        <v>21</v>
      </c>
      <c r="I45" s="79">
        <v>21</v>
      </c>
      <c r="J45" s="79">
        <f t="shared" si="1"/>
        <v>42</v>
      </c>
      <c r="K45" s="79">
        <v>22</v>
      </c>
      <c r="L45" s="79">
        <v>36</v>
      </c>
      <c r="M45" s="79">
        <v>16</v>
      </c>
      <c r="N45" s="79">
        <f t="shared" si="2"/>
        <v>52</v>
      </c>
      <c r="O45" s="79">
        <v>22</v>
      </c>
      <c r="P45" s="79">
        <v>20</v>
      </c>
      <c r="Q45" s="79">
        <f t="shared" si="3"/>
        <v>42</v>
      </c>
      <c r="R45" s="79">
        <v>20</v>
      </c>
      <c r="S45" s="79">
        <v>20</v>
      </c>
      <c r="T45" s="79">
        <f t="shared" si="4"/>
        <v>40</v>
      </c>
      <c r="U45" s="79">
        <f t="shared" si="5"/>
        <v>60</v>
      </c>
      <c r="V45" s="79">
        <v>22</v>
      </c>
      <c r="W45" s="79">
        <v>22</v>
      </c>
      <c r="X45" s="79">
        <f t="shared" si="6"/>
        <v>44</v>
      </c>
      <c r="Y45" s="79">
        <v>22</v>
      </c>
      <c r="Z45" s="79">
        <v>81</v>
      </c>
      <c r="AA45" s="79">
        <v>85</v>
      </c>
      <c r="AB45" s="79">
        <f t="shared" si="7"/>
        <v>166</v>
      </c>
      <c r="AC45" s="79">
        <v>23</v>
      </c>
      <c r="AD45" s="79">
        <v>13</v>
      </c>
      <c r="AE45" s="79">
        <f t="shared" si="8"/>
        <v>36</v>
      </c>
      <c r="AF45" s="79">
        <v>21</v>
      </c>
      <c r="AG45" s="79">
        <v>21</v>
      </c>
      <c r="AH45" s="79">
        <f t="shared" si="9"/>
        <v>42</v>
      </c>
      <c r="AI45" s="82">
        <f t="shared" si="10"/>
        <v>571</v>
      </c>
      <c r="AJ45" s="106">
        <f t="shared" si="11"/>
        <v>67.17647058823529</v>
      </c>
      <c r="AK45" s="103" t="s">
        <v>325</v>
      </c>
      <c r="AL45" s="77">
        <f t="shared" si="12"/>
        <v>55</v>
      </c>
    </row>
    <row r="46" spans="1:38" x14ac:dyDescent="0.3">
      <c r="A46" s="77">
        <v>40</v>
      </c>
      <c r="B46" s="83">
        <v>265103</v>
      </c>
      <c r="C46" s="83">
        <v>23410260168</v>
      </c>
      <c r="D46" s="88" t="s">
        <v>74</v>
      </c>
      <c r="E46" s="79">
        <v>65</v>
      </c>
      <c r="F46" s="79">
        <v>28</v>
      </c>
      <c r="G46" s="79">
        <f t="shared" si="0"/>
        <v>93</v>
      </c>
      <c r="H46" s="79">
        <v>23</v>
      </c>
      <c r="I46" s="79">
        <v>23</v>
      </c>
      <c r="J46" s="79">
        <f t="shared" si="1"/>
        <v>46</v>
      </c>
      <c r="K46" s="79">
        <v>23</v>
      </c>
      <c r="L46" s="79">
        <v>67</v>
      </c>
      <c r="M46" s="79">
        <v>30</v>
      </c>
      <c r="N46" s="79">
        <f t="shared" si="2"/>
        <v>97</v>
      </c>
      <c r="O46" s="79">
        <v>23</v>
      </c>
      <c r="P46" s="79">
        <v>23</v>
      </c>
      <c r="Q46" s="79">
        <f t="shared" si="3"/>
        <v>46</v>
      </c>
      <c r="R46" s="79">
        <v>23</v>
      </c>
      <c r="S46" s="79">
        <v>20</v>
      </c>
      <c r="T46" s="79">
        <v>41</v>
      </c>
      <c r="U46" s="79">
        <f t="shared" si="5"/>
        <v>61</v>
      </c>
      <c r="V46" s="79">
        <v>23</v>
      </c>
      <c r="W46" s="79">
        <v>23</v>
      </c>
      <c r="X46" s="79">
        <f t="shared" si="6"/>
        <v>46</v>
      </c>
      <c r="Y46" s="79">
        <v>23</v>
      </c>
      <c r="Z46" s="79">
        <v>88</v>
      </c>
      <c r="AA46" s="79">
        <v>86</v>
      </c>
      <c r="AB46" s="79">
        <f t="shared" si="7"/>
        <v>174</v>
      </c>
      <c r="AC46" s="79">
        <v>69</v>
      </c>
      <c r="AD46" s="79">
        <v>26</v>
      </c>
      <c r="AE46" s="79">
        <f t="shared" si="8"/>
        <v>95</v>
      </c>
      <c r="AF46" s="79">
        <v>21</v>
      </c>
      <c r="AG46" s="79">
        <v>21</v>
      </c>
      <c r="AH46" s="79">
        <f t="shared" si="9"/>
        <v>42</v>
      </c>
      <c r="AI46" s="82">
        <f t="shared" si="10"/>
        <v>769</v>
      </c>
      <c r="AJ46" s="106">
        <f t="shared" si="11"/>
        <v>90.470588235294116</v>
      </c>
      <c r="AK46" s="103" t="s">
        <v>326</v>
      </c>
      <c r="AL46" s="77">
        <f t="shared" si="12"/>
        <v>11</v>
      </c>
    </row>
    <row r="47" spans="1:38" x14ac:dyDescent="0.3">
      <c r="A47" s="77">
        <v>41</v>
      </c>
      <c r="B47" s="83">
        <v>265104</v>
      </c>
      <c r="C47" s="83">
        <v>23410260169</v>
      </c>
      <c r="D47" s="88" t="s">
        <v>75</v>
      </c>
      <c r="E47" s="79">
        <v>40</v>
      </c>
      <c r="F47" s="79">
        <v>21</v>
      </c>
      <c r="G47" s="79">
        <f t="shared" si="0"/>
        <v>61</v>
      </c>
      <c r="H47" s="79">
        <v>22</v>
      </c>
      <c r="I47" s="79">
        <v>22</v>
      </c>
      <c r="J47" s="79">
        <f t="shared" si="1"/>
        <v>44</v>
      </c>
      <c r="K47" s="79">
        <v>22</v>
      </c>
      <c r="L47" s="79">
        <v>45</v>
      </c>
      <c r="M47" s="79">
        <v>29</v>
      </c>
      <c r="N47" s="79">
        <f t="shared" si="2"/>
        <v>74</v>
      </c>
      <c r="O47" s="79">
        <v>23</v>
      </c>
      <c r="P47" s="79">
        <v>23</v>
      </c>
      <c r="Q47" s="79">
        <f t="shared" si="3"/>
        <v>46</v>
      </c>
      <c r="R47" s="79">
        <v>23</v>
      </c>
      <c r="S47" s="79">
        <v>21</v>
      </c>
      <c r="T47" s="79">
        <v>41</v>
      </c>
      <c r="U47" s="79">
        <f t="shared" si="5"/>
        <v>62</v>
      </c>
      <c r="V47" s="79">
        <v>22</v>
      </c>
      <c r="W47" s="79">
        <v>23</v>
      </c>
      <c r="X47" s="79">
        <f t="shared" si="6"/>
        <v>45</v>
      </c>
      <c r="Y47" s="79">
        <v>22</v>
      </c>
      <c r="Z47" s="79">
        <v>88</v>
      </c>
      <c r="AA47" s="79">
        <v>89</v>
      </c>
      <c r="AB47" s="79">
        <f t="shared" si="7"/>
        <v>177</v>
      </c>
      <c r="AC47" s="79">
        <v>45</v>
      </c>
      <c r="AD47" s="79">
        <v>22</v>
      </c>
      <c r="AE47" s="79">
        <f t="shared" si="8"/>
        <v>67</v>
      </c>
      <c r="AF47" s="79">
        <v>21</v>
      </c>
      <c r="AG47" s="79">
        <v>21</v>
      </c>
      <c r="AH47" s="79">
        <f t="shared" si="9"/>
        <v>42</v>
      </c>
      <c r="AI47" s="82">
        <f t="shared" si="10"/>
        <v>685</v>
      </c>
      <c r="AJ47" s="106">
        <f t="shared" si="11"/>
        <v>80.588235294117652</v>
      </c>
      <c r="AK47" s="103" t="s">
        <v>326</v>
      </c>
      <c r="AL47" s="77">
        <f t="shared" si="12"/>
        <v>42</v>
      </c>
    </row>
    <row r="48" spans="1:38" x14ac:dyDescent="0.3">
      <c r="A48" s="77">
        <v>42</v>
      </c>
      <c r="B48" s="83">
        <v>265105</v>
      </c>
      <c r="C48" s="83">
        <v>23410260170</v>
      </c>
      <c r="D48" s="88" t="s">
        <v>76</v>
      </c>
      <c r="E48" s="79">
        <v>48</v>
      </c>
      <c r="F48" s="79">
        <v>27</v>
      </c>
      <c r="G48" s="79">
        <f t="shared" si="0"/>
        <v>75</v>
      </c>
      <c r="H48" s="79">
        <v>23</v>
      </c>
      <c r="I48" s="79">
        <v>23</v>
      </c>
      <c r="J48" s="79">
        <f t="shared" si="1"/>
        <v>46</v>
      </c>
      <c r="K48" s="79">
        <v>23</v>
      </c>
      <c r="L48" s="79">
        <v>60</v>
      </c>
      <c r="M48" s="79">
        <v>30</v>
      </c>
      <c r="N48" s="79">
        <f t="shared" si="2"/>
        <v>90</v>
      </c>
      <c r="O48" s="79">
        <v>23</v>
      </c>
      <c r="P48" s="79">
        <v>23</v>
      </c>
      <c r="Q48" s="79">
        <f t="shared" si="3"/>
        <v>46</v>
      </c>
      <c r="R48" s="79">
        <v>23</v>
      </c>
      <c r="S48" s="79">
        <v>23</v>
      </c>
      <c r="T48" s="79">
        <f t="shared" si="4"/>
        <v>46</v>
      </c>
      <c r="U48" s="79">
        <f t="shared" si="5"/>
        <v>69</v>
      </c>
      <c r="V48" s="79">
        <v>23</v>
      </c>
      <c r="W48" s="79">
        <v>23</v>
      </c>
      <c r="X48" s="79">
        <f t="shared" si="6"/>
        <v>46</v>
      </c>
      <c r="Y48" s="79">
        <v>23</v>
      </c>
      <c r="Z48" s="79">
        <v>96</v>
      </c>
      <c r="AA48" s="79">
        <v>96</v>
      </c>
      <c r="AB48" s="79">
        <f t="shared" si="7"/>
        <v>192</v>
      </c>
      <c r="AC48" s="79">
        <v>63</v>
      </c>
      <c r="AD48" s="79">
        <v>29</v>
      </c>
      <c r="AE48" s="79">
        <f t="shared" si="8"/>
        <v>92</v>
      </c>
      <c r="AF48" s="79">
        <v>23</v>
      </c>
      <c r="AG48" s="79">
        <v>23</v>
      </c>
      <c r="AH48" s="79">
        <f t="shared" si="9"/>
        <v>46</v>
      </c>
      <c r="AI48" s="82">
        <f t="shared" si="10"/>
        <v>771</v>
      </c>
      <c r="AJ48" s="106">
        <f t="shared" si="11"/>
        <v>90.705882352941174</v>
      </c>
      <c r="AK48" s="103" t="s">
        <v>326</v>
      </c>
      <c r="AL48" s="77">
        <f t="shared" si="12"/>
        <v>9</v>
      </c>
    </row>
    <row r="49" spans="1:38" x14ac:dyDescent="0.3">
      <c r="A49" s="77">
        <v>43</v>
      </c>
      <c r="B49" s="83">
        <v>265106</v>
      </c>
      <c r="C49" s="83">
        <v>23410260171</v>
      </c>
      <c r="D49" s="88" t="s">
        <v>77</v>
      </c>
      <c r="E49" s="79">
        <v>40</v>
      </c>
      <c r="F49" s="79">
        <v>11</v>
      </c>
      <c r="G49" s="79">
        <f t="shared" si="0"/>
        <v>51</v>
      </c>
      <c r="H49" s="79">
        <v>20</v>
      </c>
      <c r="I49" s="79">
        <v>20</v>
      </c>
      <c r="J49" s="79">
        <f t="shared" si="1"/>
        <v>40</v>
      </c>
      <c r="K49" s="79">
        <v>22</v>
      </c>
      <c r="L49" s="79">
        <v>52</v>
      </c>
      <c r="M49" s="79">
        <v>21</v>
      </c>
      <c r="N49" s="79">
        <f t="shared" si="2"/>
        <v>73</v>
      </c>
      <c r="O49" s="79">
        <v>21</v>
      </c>
      <c r="P49" s="79">
        <v>20</v>
      </c>
      <c r="Q49" s="79">
        <f t="shared" si="3"/>
        <v>41</v>
      </c>
      <c r="R49" s="79">
        <v>20</v>
      </c>
      <c r="S49" s="79">
        <v>21</v>
      </c>
      <c r="T49" s="79">
        <f t="shared" si="4"/>
        <v>41</v>
      </c>
      <c r="U49" s="79">
        <f t="shared" si="5"/>
        <v>62</v>
      </c>
      <c r="V49" s="79">
        <v>22</v>
      </c>
      <c r="W49" s="79">
        <v>18</v>
      </c>
      <c r="X49" s="79">
        <f t="shared" si="6"/>
        <v>40</v>
      </c>
      <c r="Y49" s="79">
        <v>22</v>
      </c>
      <c r="Z49" s="79">
        <v>94</v>
      </c>
      <c r="AA49" s="79">
        <v>95</v>
      </c>
      <c r="AB49" s="79">
        <f t="shared" si="7"/>
        <v>189</v>
      </c>
      <c r="AC49" s="79">
        <v>47</v>
      </c>
      <c r="AD49" s="79">
        <v>15</v>
      </c>
      <c r="AE49" s="79">
        <f t="shared" si="8"/>
        <v>62</v>
      </c>
      <c r="AF49" s="79">
        <v>20</v>
      </c>
      <c r="AG49" s="79">
        <v>20</v>
      </c>
      <c r="AH49" s="79">
        <f t="shared" si="9"/>
        <v>40</v>
      </c>
      <c r="AI49" s="82">
        <f t="shared" si="10"/>
        <v>662</v>
      </c>
      <c r="AJ49" s="106">
        <f t="shared" si="11"/>
        <v>77.882352941176464</v>
      </c>
      <c r="AK49" s="103" t="s">
        <v>326</v>
      </c>
      <c r="AL49" s="77">
        <f t="shared" si="12"/>
        <v>46</v>
      </c>
    </row>
    <row r="50" spans="1:38" x14ac:dyDescent="0.3">
      <c r="A50" s="77">
        <v>44</v>
      </c>
      <c r="B50" s="83">
        <v>265107</v>
      </c>
      <c r="C50" s="83">
        <v>23410260173</v>
      </c>
      <c r="D50" s="88" t="s">
        <v>78</v>
      </c>
      <c r="E50" s="79">
        <v>33</v>
      </c>
      <c r="F50" s="79">
        <v>15</v>
      </c>
      <c r="G50" s="79">
        <f t="shared" si="0"/>
        <v>48</v>
      </c>
      <c r="H50" s="79">
        <v>21</v>
      </c>
      <c r="I50" s="79">
        <v>22</v>
      </c>
      <c r="J50" s="79">
        <f t="shared" si="1"/>
        <v>43</v>
      </c>
      <c r="K50" s="79">
        <v>22</v>
      </c>
      <c r="L50" s="79">
        <v>47</v>
      </c>
      <c r="M50" s="79">
        <v>30</v>
      </c>
      <c r="N50" s="79">
        <f t="shared" si="2"/>
        <v>77</v>
      </c>
      <c r="O50" s="79">
        <v>23</v>
      </c>
      <c r="P50" s="79">
        <v>23</v>
      </c>
      <c r="Q50" s="79">
        <f t="shared" si="3"/>
        <v>46</v>
      </c>
      <c r="R50" s="79">
        <v>23</v>
      </c>
      <c r="S50" s="79">
        <v>22</v>
      </c>
      <c r="T50" s="79">
        <f t="shared" si="4"/>
        <v>45</v>
      </c>
      <c r="U50" s="79">
        <f t="shared" si="5"/>
        <v>67</v>
      </c>
      <c r="V50" s="79">
        <v>22</v>
      </c>
      <c r="W50" s="79">
        <v>22</v>
      </c>
      <c r="X50" s="79">
        <f t="shared" si="6"/>
        <v>44</v>
      </c>
      <c r="Y50" s="79">
        <v>22</v>
      </c>
      <c r="Z50" s="79">
        <v>95</v>
      </c>
      <c r="AA50" s="79">
        <v>95</v>
      </c>
      <c r="AB50" s="79">
        <f t="shared" si="7"/>
        <v>190</v>
      </c>
      <c r="AC50" s="79">
        <v>41</v>
      </c>
      <c r="AD50" s="79">
        <v>15</v>
      </c>
      <c r="AE50" s="79">
        <f t="shared" si="8"/>
        <v>56</v>
      </c>
      <c r="AF50" s="79">
        <v>21</v>
      </c>
      <c r="AG50" s="79">
        <v>21</v>
      </c>
      <c r="AH50" s="79">
        <f t="shared" si="9"/>
        <v>42</v>
      </c>
      <c r="AI50" s="82">
        <f t="shared" si="10"/>
        <v>680</v>
      </c>
      <c r="AJ50" s="106">
        <f t="shared" si="11"/>
        <v>80</v>
      </c>
      <c r="AK50" s="103" t="s">
        <v>326</v>
      </c>
      <c r="AL50" s="77">
        <f t="shared" si="12"/>
        <v>43</v>
      </c>
    </row>
    <row r="51" spans="1:38" x14ac:dyDescent="0.3">
      <c r="A51" s="77">
        <v>45</v>
      </c>
      <c r="B51" s="83">
        <v>265108</v>
      </c>
      <c r="C51" s="83">
        <v>23410260175</v>
      </c>
      <c r="D51" s="88" t="s">
        <v>79</v>
      </c>
      <c r="E51" s="79">
        <v>57</v>
      </c>
      <c r="F51" s="79">
        <v>18</v>
      </c>
      <c r="G51" s="79">
        <f t="shared" si="0"/>
        <v>75</v>
      </c>
      <c r="H51" s="79">
        <v>21</v>
      </c>
      <c r="I51" s="79">
        <v>21</v>
      </c>
      <c r="J51" s="79">
        <f t="shared" si="1"/>
        <v>42</v>
      </c>
      <c r="K51" s="79">
        <v>22</v>
      </c>
      <c r="L51" s="79">
        <v>60</v>
      </c>
      <c r="M51" s="79">
        <v>30</v>
      </c>
      <c r="N51" s="79">
        <f t="shared" si="2"/>
        <v>90</v>
      </c>
      <c r="O51" s="79">
        <v>23</v>
      </c>
      <c r="P51" s="79">
        <v>23</v>
      </c>
      <c r="Q51" s="79">
        <f t="shared" si="3"/>
        <v>46</v>
      </c>
      <c r="R51" s="79">
        <v>23</v>
      </c>
      <c r="S51" s="79">
        <v>21</v>
      </c>
      <c r="T51" s="79">
        <v>41</v>
      </c>
      <c r="U51" s="79">
        <f t="shared" si="5"/>
        <v>62</v>
      </c>
      <c r="V51" s="79">
        <v>22</v>
      </c>
      <c r="W51" s="79">
        <v>22</v>
      </c>
      <c r="X51" s="79">
        <f t="shared" si="6"/>
        <v>44</v>
      </c>
      <c r="Y51" s="79">
        <v>22</v>
      </c>
      <c r="Z51" s="79">
        <v>95</v>
      </c>
      <c r="AA51" s="79">
        <v>96</v>
      </c>
      <c r="AB51" s="79">
        <f t="shared" si="7"/>
        <v>191</v>
      </c>
      <c r="AC51" s="79">
        <v>62</v>
      </c>
      <c r="AD51" s="79">
        <v>19</v>
      </c>
      <c r="AE51" s="79">
        <f t="shared" si="8"/>
        <v>81</v>
      </c>
      <c r="AF51" s="79">
        <v>21</v>
      </c>
      <c r="AG51" s="79">
        <v>21</v>
      </c>
      <c r="AH51" s="79">
        <f t="shared" si="9"/>
        <v>42</v>
      </c>
      <c r="AI51" s="82">
        <f t="shared" si="10"/>
        <v>740</v>
      </c>
      <c r="AJ51" s="106">
        <f t="shared" si="11"/>
        <v>87.058823529411768</v>
      </c>
      <c r="AK51" s="103" t="s">
        <v>326</v>
      </c>
      <c r="AL51" s="77">
        <f t="shared" si="12"/>
        <v>23</v>
      </c>
    </row>
    <row r="52" spans="1:38" x14ac:dyDescent="0.3">
      <c r="A52" s="77">
        <v>46</v>
      </c>
      <c r="B52" s="83">
        <v>265109</v>
      </c>
      <c r="C52" s="83">
        <v>23410260176</v>
      </c>
      <c r="D52" s="88" t="s">
        <v>80</v>
      </c>
      <c r="E52" s="79">
        <v>56</v>
      </c>
      <c r="F52" s="79">
        <v>30</v>
      </c>
      <c r="G52" s="79">
        <f t="shared" si="0"/>
        <v>86</v>
      </c>
      <c r="H52" s="79">
        <v>24</v>
      </c>
      <c r="I52" s="79">
        <v>23</v>
      </c>
      <c r="J52" s="79">
        <f t="shared" si="1"/>
        <v>47</v>
      </c>
      <c r="K52" s="79">
        <v>23</v>
      </c>
      <c r="L52" s="79">
        <v>69</v>
      </c>
      <c r="M52" s="79">
        <v>30</v>
      </c>
      <c r="N52" s="79">
        <f t="shared" si="2"/>
        <v>99</v>
      </c>
      <c r="O52" s="79">
        <v>23</v>
      </c>
      <c r="P52" s="79">
        <v>23</v>
      </c>
      <c r="Q52" s="79">
        <f t="shared" si="3"/>
        <v>46</v>
      </c>
      <c r="R52" s="79">
        <v>23</v>
      </c>
      <c r="S52" s="79">
        <v>22</v>
      </c>
      <c r="T52" s="79">
        <f t="shared" si="4"/>
        <v>45</v>
      </c>
      <c r="U52" s="79">
        <f t="shared" si="5"/>
        <v>67</v>
      </c>
      <c r="V52" s="79">
        <v>23</v>
      </c>
      <c r="W52" s="79">
        <v>23</v>
      </c>
      <c r="X52" s="79">
        <f t="shared" si="6"/>
        <v>46</v>
      </c>
      <c r="Y52" s="79">
        <v>23</v>
      </c>
      <c r="Z52" s="79">
        <v>94</v>
      </c>
      <c r="AA52" s="79">
        <v>95</v>
      </c>
      <c r="AB52" s="79">
        <f t="shared" si="7"/>
        <v>189</v>
      </c>
      <c r="AC52" s="79">
        <v>65</v>
      </c>
      <c r="AD52" s="79">
        <v>25</v>
      </c>
      <c r="AE52" s="79">
        <f t="shared" si="8"/>
        <v>90</v>
      </c>
      <c r="AF52" s="79">
        <v>22</v>
      </c>
      <c r="AG52" s="79">
        <v>22</v>
      </c>
      <c r="AH52" s="79">
        <f t="shared" si="9"/>
        <v>44</v>
      </c>
      <c r="AI52" s="82">
        <f t="shared" si="10"/>
        <v>783</v>
      </c>
      <c r="AJ52" s="106">
        <f t="shared" si="11"/>
        <v>92.117647058823522</v>
      </c>
      <c r="AK52" s="103" t="s">
        <v>326</v>
      </c>
      <c r="AL52" s="77">
        <f t="shared" si="12"/>
        <v>2</v>
      </c>
    </row>
    <row r="53" spans="1:38" x14ac:dyDescent="0.3">
      <c r="A53" s="77">
        <v>47</v>
      </c>
      <c r="B53" s="83">
        <v>265110</v>
      </c>
      <c r="C53" s="83">
        <v>23410260177</v>
      </c>
      <c r="D53" s="88" t="s">
        <v>81</v>
      </c>
      <c r="E53" s="79">
        <v>33</v>
      </c>
      <c r="F53" s="79">
        <v>16</v>
      </c>
      <c r="G53" s="79">
        <f t="shared" si="0"/>
        <v>49</v>
      </c>
      <c r="H53" s="79">
        <v>21</v>
      </c>
      <c r="I53" s="79">
        <v>21</v>
      </c>
      <c r="J53" s="79">
        <f t="shared" si="1"/>
        <v>42</v>
      </c>
      <c r="K53" s="79">
        <v>22</v>
      </c>
      <c r="L53" s="79">
        <v>43</v>
      </c>
      <c r="M53" s="79">
        <v>29</v>
      </c>
      <c r="N53" s="79">
        <f t="shared" si="2"/>
        <v>72</v>
      </c>
      <c r="O53" s="79">
        <v>23</v>
      </c>
      <c r="P53" s="79">
        <v>23</v>
      </c>
      <c r="Q53" s="79">
        <f t="shared" si="3"/>
        <v>46</v>
      </c>
      <c r="R53" s="79">
        <v>23</v>
      </c>
      <c r="S53" s="79">
        <v>20</v>
      </c>
      <c r="T53" s="79">
        <v>41</v>
      </c>
      <c r="U53" s="79">
        <f t="shared" si="5"/>
        <v>61</v>
      </c>
      <c r="V53" s="79">
        <v>22</v>
      </c>
      <c r="W53" s="79">
        <v>22</v>
      </c>
      <c r="X53" s="79">
        <f t="shared" si="6"/>
        <v>44</v>
      </c>
      <c r="Y53" s="79">
        <v>22</v>
      </c>
      <c r="Z53" s="79">
        <v>94</v>
      </c>
      <c r="AA53" s="79">
        <v>94</v>
      </c>
      <c r="AB53" s="79">
        <f t="shared" si="7"/>
        <v>188</v>
      </c>
      <c r="AC53" s="79">
        <v>37</v>
      </c>
      <c r="AD53" s="79">
        <v>18</v>
      </c>
      <c r="AE53" s="79">
        <f t="shared" si="8"/>
        <v>55</v>
      </c>
      <c r="AF53" s="79">
        <v>21</v>
      </c>
      <c r="AG53" s="79">
        <v>21</v>
      </c>
      <c r="AH53" s="79">
        <f t="shared" si="9"/>
        <v>42</v>
      </c>
      <c r="AI53" s="82">
        <f t="shared" si="10"/>
        <v>666</v>
      </c>
      <c r="AJ53" s="106">
        <f t="shared" si="11"/>
        <v>78.352941176470594</v>
      </c>
      <c r="AK53" s="103" t="s">
        <v>326</v>
      </c>
      <c r="AL53" s="77">
        <f t="shared" si="12"/>
        <v>45</v>
      </c>
    </row>
    <row r="54" spans="1:38" x14ac:dyDescent="0.3">
      <c r="A54" s="77">
        <v>48</v>
      </c>
      <c r="B54" s="83">
        <v>265111</v>
      </c>
      <c r="C54" s="83">
        <v>23410260178</v>
      </c>
      <c r="D54" s="88" t="s">
        <v>82</v>
      </c>
      <c r="E54" s="79">
        <v>33</v>
      </c>
      <c r="F54" s="79">
        <v>18</v>
      </c>
      <c r="G54" s="79">
        <f t="shared" si="0"/>
        <v>51</v>
      </c>
      <c r="H54" s="79">
        <v>21</v>
      </c>
      <c r="I54" s="79">
        <v>21</v>
      </c>
      <c r="J54" s="79">
        <f t="shared" si="1"/>
        <v>42</v>
      </c>
      <c r="K54" s="79">
        <v>22</v>
      </c>
      <c r="L54" s="79">
        <v>48</v>
      </c>
      <c r="M54" s="79">
        <v>30</v>
      </c>
      <c r="N54" s="79">
        <f t="shared" si="2"/>
        <v>78</v>
      </c>
      <c r="O54" s="79">
        <v>23</v>
      </c>
      <c r="P54" s="79">
        <v>23</v>
      </c>
      <c r="Q54" s="79">
        <f t="shared" si="3"/>
        <v>46</v>
      </c>
      <c r="R54" s="79">
        <v>23</v>
      </c>
      <c r="S54" s="79">
        <v>20</v>
      </c>
      <c r="T54" s="79">
        <v>40</v>
      </c>
      <c r="U54" s="79">
        <f t="shared" si="5"/>
        <v>60</v>
      </c>
      <c r="V54" s="79">
        <v>23</v>
      </c>
      <c r="W54" s="79">
        <v>22</v>
      </c>
      <c r="X54" s="79">
        <f t="shared" si="6"/>
        <v>45</v>
      </c>
      <c r="Y54" s="79">
        <v>23</v>
      </c>
      <c r="Z54" s="79">
        <v>94</v>
      </c>
      <c r="AA54" s="79">
        <v>94</v>
      </c>
      <c r="AB54" s="79">
        <f t="shared" si="7"/>
        <v>188</v>
      </c>
      <c r="AC54" s="79">
        <v>36</v>
      </c>
      <c r="AD54" s="79">
        <v>15</v>
      </c>
      <c r="AE54" s="79">
        <f t="shared" si="8"/>
        <v>51</v>
      </c>
      <c r="AF54" s="79">
        <v>21</v>
      </c>
      <c r="AG54" s="79">
        <v>21</v>
      </c>
      <c r="AH54" s="79">
        <f t="shared" si="9"/>
        <v>42</v>
      </c>
      <c r="AI54" s="82">
        <f t="shared" si="10"/>
        <v>671</v>
      </c>
      <c r="AJ54" s="106">
        <f t="shared" si="11"/>
        <v>78.941176470588232</v>
      </c>
      <c r="AK54" s="103" t="s">
        <v>326</v>
      </c>
      <c r="AL54" s="77">
        <f t="shared" si="12"/>
        <v>44</v>
      </c>
    </row>
    <row r="55" spans="1:38" x14ac:dyDescent="0.3">
      <c r="A55" s="77">
        <v>49</v>
      </c>
      <c r="B55" s="83">
        <v>265112</v>
      </c>
      <c r="C55" s="83">
        <v>23410260269</v>
      </c>
      <c r="D55" s="88" t="s">
        <v>83</v>
      </c>
      <c r="E55" s="79">
        <v>51</v>
      </c>
      <c r="F55" s="79">
        <v>22</v>
      </c>
      <c r="G55" s="79">
        <f t="shared" si="0"/>
        <v>73</v>
      </c>
      <c r="H55" s="79">
        <v>23</v>
      </c>
      <c r="I55" s="79">
        <v>23</v>
      </c>
      <c r="J55" s="79">
        <f t="shared" si="1"/>
        <v>46</v>
      </c>
      <c r="K55" s="79">
        <v>23</v>
      </c>
      <c r="L55" s="79">
        <v>59</v>
      </c>
      <c r="M55" s="79">
        <v>30</v>
      </c>
      <c r="N55" s="79">
        <f t="shared" si="2"/>
        <v>89</v>
      </c>
      <c r="O55" s="79">
        <v>23</v>
      </c>
      <c r="P55" s="79">
        <v>23</v>
      </c>
      <c r="Q55" s="79">
        <f t="shared" si="3"/>
        <v>46</v>
      </c>
      <c r="R55" s="79">
        <v>23</v>
      </c>
      <c r="S55" s="79">
        <v>22</v>
      </c>
      <c r="T55" s="79">
        <f t="shared" si="4"/>
        <v>45</v>
      </c>
      <c r="U55" s="79">
        <f t="shared" si="5"/>
        <v>67</v>
      </c>
      <c r="V55" s="79">
        <v>22</v>
      </c>
      <c r="W55" s="79">
        <v>22</v>
      </c>
      <c r="X55" s="79">
        <f t="shared" si="6"/>
        <v>44</v>
      </c>
      <c r="Y55" s="79">
        <v>22</v>
      </c>
      <c r="Z55" s="79">
        <v>96</v>
      </c>
      <c r="AA55" s="79">
        <v>96</v>
      </c>
      <c r="AB55" s="79">
        <f t="shared" si="7"/>
        <v>192</v>
      </c>
      <c r="AC55" s="79">
        <v>14</v>
      </c>
      <c r="AD55" s="79">
        <v>15</v>
      </c>
      <c r="AE55" s="79">
        <f t="shared" si="8"/>
        <v>29</v>
      </c>
      <c r="AF55" s="79">
        <v>21</v>
      </c>
      <c r="AG55" s="79">
        <v>21</v>
      </c>
      <c r="AH55" s="79">
        <f t="shared" si="9"/>
        <v>42</v>
      </c>
      <c r="AI55" s="82">
        <f t="shared" si="10"/>
        <v>696</v>
      </c>
      <c r="AJ55" s="106">
        <f t="shared" si="11"/>
        <v>81.882352941176478</v>
      </c>
      <c r="AK55" s="103" t="s">
        <v>327</v>
      </c>
      <c r="AL55" s="77">
        <f t="shared" si="12"/>
        <v>40</v>
      </c>
    </row>
    <row r="56" spans="1:38" x14ac:dyDescent="0.3">
      <c r="A56" s="77">
        <v>50</v>
      </c>
      <c r="B56" s="83">
        <v>265113</v>
      </c>
      <c r="C56" s="83">
        <v>23410260286</v>
      </c>
      <c r="D56" s="88" t="s">
        <v>84</v>
      </c>
      <c r="E56" s="79">
        <v>47</v>
      </c>
      <c r="F56" s="79">
        <v>28</v>
      </c>
      <c r="G56" s="79">
        <f t="shared" si="0"/>
        <v>75</v>
      </c>
      <c r="H56" s="79">
        <v>23</v>
      </c>
      <c r="I56" s="79">
        <v>23</v>
      </c>
      <c r="J56" s="79">
        <f t="shared" si="1"/>
        <v>46</v>
      </c>
      <c r="K56" s="79">
        <v>23</v>
      </c>
      <c r="L56" s="79">
        <v>55</v>
      </c>
      <c r="M56" s="79">
        <v>29</v>
      </c>
      <c r="N56" s="79">
        <f t="shared" si="2"/>
        <v>84</v>
      </c>
      <c r="O56" s="79">
        <v>23</v>
      </c>
      <c r="P56" s="79">
        <v>23</v>
      </c>
      <c r="Q56" s="79">
        <f t="shared" si="3"/>
        <v>46</v>
      </c>
      <c r="R56" s="79">
        <v>23</v>
      </c>
      <c r="S56" s="79">
        <v>22</v>
      </c>
      <c r="T56" s="79">
        <f t="shared" si="4"/>
        <v>45</v>
      </c>
      <c r="U56" s="79">
        <f t="shared" si="5"/>
        <v>67</v>
      </c>
      <c r="V56" s="79">
        <v>23</v>
      </c>
      <c r="W56" s="79">
        <v>23</v>
      </c>
      <c r="X56" s="79">
        <f t="shared" si="6"/>
        <v>46</v>
      </c>
      <c r="Y56" s="79">
        <v>23</v>
      </c>
      <c r="Z56" s="79">
        <v>94</v>
      </c>
      <c r="AA56" s="79">
        <v>95</v>
      </c>
      <c r="AB56" s="79">
        <f t="shared" si="7"/>
        <v>189</v>
      </c>
      <c r="AC56" s="79">
        <v>35</v>
      </c>
      <c r="AD56" s="79">
        <v>18</v>
      </c>
      <c r="AE56" s="79">
        <f t="shared" si="8"/>
        <v>53</v>
      </c>
      <c r="AF56" s="79">
        <v>21</v>
      </c>
      <c r="AG56" s="79">
        <v>21</v>
      </c>
      <c r="AH56" s="79">
        <f t="shared" si="9"/>
        <v>42</v>
      </c>
      <c r="AI56" s="82">
        <f t="shared" si="10"/>
        <v>717</v>
      </c>
      <c r="AJ56" s="106">
        <f t="shared" si="11"/>
        <v>84.35294117647058</v>
      </c>
      <c r="AK56" s="103" t="s">
        <v>326</v>
      </c>
      <c r="AL56" s="77">
        <f t="shared" si="12"/>
        <v>33</v>
      </c>
    </row>
    <row r="57" spans="1:38" x14ac:dyDescent="0.3">
      <c r="A57" s="77">
        <v>51</v>
      </c>
      <c r="B57" s="83">
        <v>265114</v>
      </c>
      <c r="C57" s="83">
        <v>23410260354</v>
      </c>
      <c r="D57" s="88" t="s">
        <v>85</v>
      </c>
      <c r="E57" s="79">
        <v>39</v>
      </c>
      <c r="F57" s="79">
        <v>22</v>
      </c>
      <c r="G57" s="79">
        <f t="shared" si="0"/>
        <v>61</v>
      </c>
      <c r="H57" s="79">
        <v>23</v>
      </c>
      <c r="I57" s="79">
        <v>23</v>
      </c>
      <c r="J57" s="79">
        <f t="shared" si="1"/>
        <v>46</v>
      </c>
      <c r="K57" s="79">
        <v>23</v>
      </c>
      <c r="L57" s="79">
        <v>51</v>
      </c>
      <c r="M57" s="79">
        <v>30</v>
      </c>
      <c r="N57" s="79">
        <f t="shared" si="2"/>
        <v>81</v>
      </c>
      <c r="O57" s="79">
        <v>23</v>
      </c>
      <c r="P57" s="79">
        <v>23</v>
      </c>
      <c r="Q57" s="79">
        <f t="shared" si="3"/>
        <v>46</v>
      </c>
      <c r="R57" s="79">
        <v>23</v>
      </c>
      <c r="S57" s="79">
        <v>22</v>
      </c>
      <c r="T57" s="79">
        <f t="shared" si="4"/>
        <v>45</v>
      </c>
      <c r="U57" s="79">
        <f t="shared" si="5"/>
        <v>67</v>
      </c>
      <c r="V57" s="79">
        <v>22</v>
      </c>
      <c r="W57" s="79">
        <v>22</v>
      </c>
      <c r="X57" s="79">
        <f t="shared" si="6"/>
        <v>44</v>
      </c>
      <c r="Y57" s="79">
        <v>22</v>
      </c>
      <c r="Z57" s="79">
        <v>93</v>
      </c>
      <c r="AA57" s="79">
        <v>94</v>
      </c>
      <c r="AB57" s="79">
        <f t="shared" si="7"/>
        <v>187</v>
      </c>
      <c r="AC57" s="79">
        <v>52</v>
      </c>
      <c r="AD57" s="79">
        <v>15</v>
      </c>
      <c r="AE57" s="79">
        <f t="shared" si="8"/>
        <v>67</v>
      </c>
      <c r="AF57" s="79">
        <v>22</v>
      </c>
      <c r="AG57" s="79">
        <v>22</v>
      </c>
      <c r="AH57" s="79">
        <f t="shared" si="9"/>
        <v>44</v>
      </c>
      <c r="AI57" s="82">
        <f t="shared" si="10"/>
        <v>711</v>
      </c>
      <c r="AJ57" s="106">
        <f t="shared" si="11"/>
        <v>83.647058823529406</v>
      </c>
      <c r="AK57" s="103" t="s">
        <v>326</v>
      </c>
      <c r="AL57" s="77">
        <f t="shared" si="12"/>
        <v>35</v>
      </c>
    </row>
    <row r="58" spans="1:38" x14ac:dyDescent="0.3">
      <c r="A58" s="77">
        <v>52</v>
      </c>
      <c r="B58" s="83">
        <v>265115</v>
      </c>
      <c r="C58" s="83">
        <v>23410260368</v>
      </c>
      <c r="D58" s="88" t="s">
        <v>86</v>
      </c>
      <c r="E58" s="79">
        <v>50</v>
      </c>
      <c r="F58" s="79">
        <v>14</v>
      </c>
      <c r="G58" s="79">
        <f t="shared" si="0"/>
        <v>64</v>
      </c>
      <c r="H58" s="79">
        <v>21</v>
      </c>
      <c r="I58" s="79">
        <v>22</v>
      </c>
      <c r="J58" s="79">
        <f t="shared" si="1"/>
        <v>43</v>
      </c>
      <c r="K58" s="79">
        <v>21</v>
      </c>
      <c r="L58" s="79">
        <v>28</v>
      </c>
      <c r="M58" s="79">
        <v>27</v>
      </c>
      <c r="N58" s="79">
        <f t="shared" si="2"/>
        <v>55</v>
      </c>
      <c r="O58" s="79">
        <v>23</v>
      </c>
      <c r="P58" s="79">
        <v>23</v>
      </c>
      <c r="Q58" s="79">
        <f t="shared" si="3"/>
        <v>46</v>
      </c>
      <c r="R58" s="79">
        <v>23</v>
      </c>
      <c r="S58" s="79">
        <v>21</v>
      </c>
      <c r="T58" s="79">
        <v>42</v>
      </c>
      <c r="U58" s="79">
        <f t="shared" si="5"/>
        <v>63</v>
      </c>
      <c r="V58" s="79">
        <v>22</v>
      </c>
      <c r="W58" s="79">
        <v>22</v>
      </c>
      <c r="X58" s="79">
        <f t="shared" si="6"/>
        <v>44</v>
      </c>
      <c r="Y58" s="79">
        <v>22</v>
      </c>
      <c r="Z58" s="79">
        <v>93</v>
      </c>
      <c r="AA58" s="79">
        <v>94</v>
      </c>
      <c r="AB58" s="79">
        <f t="shared" si="7"/>
        <v>187</v>
      </c>
      <c r="AC58" s="79">
        <v>31</v>
      </c>
      <c r="AD58" s="79">
        <v>18</v>
      </c>
      <c r="AE58" s="79">
        <f t="shared" si="8"/>
        <v>49</v>
      </c>
      <c r="AF58" s="79">
        <v>21</v>
      </c>
      <c r="AG58" s="79">
        <v>21</v>
      </c>
      <c r="AH58" s="79">
        <f t="shared" si="9"/>
        <v>42</v>
      </c>
      <c r="AI58" s="82">
        <f t="shared" si="10"/>
        <v>659</v>
      </c>
      <c r="AJ58" s="106">
        <f t="shared" si="11"/>
        <v>77.529411764705884</v>
      </c>
      <c r="AK58" s="103" t="s">
        <v>326</v>
      </c>
      <c r="AL58" s="77">
        <f t="shared" si="12"/>
        <v>48</v>
      </c>
    </row>
    <row r="59" spans="1:38" x14ac:dyDescent="0.3">
      <c r="A59" s="77">
        <v>53</v>
      </c>
      <c r="B59" s="83">
        <v>265116</v>
      </c>
      <c r="C59" s="83">
        <v>24410260181</v>
      </c>
      <c r="D59" s="88" t="s">
        <v>87</v>
      </c>
      <c r="E59" s="79">
        <v>36</v>
      </c>
      <c r="F59" s="79">
        <v>16</v>
      </c>
      <c r="G59" s="79">
        <f t="shared" si="0"/>
        <v>52</v>
      </c>
      <c r="H59" s="79">
        <v>23</v>
      </c>
      <c r="I59" s="79">
        <v>23</v>
      </c>
      <c r="J59" s="79">
        <f t="shared" si="1"/>
        <v>46</v>
      </c>
      <c r="K59" s="79">
        <v>23</v>
      </c>
      <c r="L59" s="79">
        <v>38</v>
      </c>
      <c r="M59" s="79">
        <v>30</v>
      </c>
      <c r="N59" s="79">
        <f t="shared" si="2"/>
        <v>68</v>
      </c>
      <c r="O59" s="79">
        <v>23</v>
      </c>
      <c r="P59" s="79">
        <v>23</v>
      </c>
      <c r="Q59" s="79">
        <f t="shared" si="3"/>
        <v>46</v>
      </c>
      <c r="R59" s="79">
        <v>23</v>
      </c>
      <c r="S59" s="79">
        <v>20</v>
      </c>
      <c r="T59" s="79">
        <f t="shared" si="4"/>
        <v>43</v>
      </c>
      <c r="U59" s="79">
        <f t="shared" si="5"/>
        <v>63</v>
      </c>
      <c r="V59" s="79">
        <v>23</v>
      </c>
      <c r="W59" s="79">
        <v>23</v>
      </c>
      <c r="X59" s="79">
        <f t="shared" si="6"/>
        <v>46</v>
      </c>
      <c r="Y59" s="79">
        <v>23</v>
      </c>
      <c r="Z59" s="79">
        <v>93</v>
      </c>
      <c r="AA59" s="79">
        <v>93</v>
      </c>
      <c r="AB59" s="79">
        <f t="shared" si="7"/>
        <v>186</v>
      </c>
      <c r="AC59" s="79">
        <v>27</v>
      </c>
      <c r="AD59" s="79">
        <v>16</v>
      </c>
      <c r="AE59" s="79">
        <f t="shared" si="8"/>
        <v>43</v>
      </c>
      <c r="AF59" s="79">
        <v>21</v>
      </c>
      <c r="AG59" s="79">
        <v>21</v>
      </c>
      <c r="AH59" s="79">
        <f t="shared" si="9"/>
        <v>42</v>
      </c>
      <c r="AI59" s="82">
        <f t="shared" si="10"/>
        <v>661</v>
      </c>
      <c r="AJ59" s="106">
        <f t="shared" si="11"/>
        <v>77.764705882352942</v>
      </c>
      <c r="AK59" s="103" t="s">
        <v>326</v>
      </c>
      <c r="AL59" s="77">
        <f t="shared" si="12"/>
        <v>47</v>
      </c>
    </row>
    <row r="60" spans="1:38" x14ac:dyDescent="0.3">
      <c r="A60" s="77">
        <v>54</v>
      </c>
      <c r="B60" s="83">
        <v>265117</v>
      </c>
      <c r="C60" s="83">
        <v>24410260182</v>
      </c>
      <c r="D60" s="88" t="s">
        <v>88</v>
      </c>
      <c r="E60" s="79">
        <v>35</v>
      </c>
      <c r="F60" s="79">
        <v>12</v>
      </c>
      <c r="G60" s="79">
        <f t="shared" si="0"/>
        <v>47</v>
      </c>
      <c r="H60" s="79">
        <v>21</v>
      </c>
      <c r="I60" s="79">
        <v>21</v>
      </c>
      <c r="J60" s="79">
        <f t="shared" si="1"/>
        <v>42</v>
      </c>
      <c r="K60" s="79">
        <v>21</v>
      </c>
      <c r="L60" s="79">
        <v>39</v>
      </c>
      <c r="M60" s="79">
        <v>24</v>
      </c>
      <c r="N60" s="79">
        <f t="shared" si="2"/>
        <v>63</v>
      </c>
      <c r="O60" s="79">
        <v>22</v>
      </c>
      <c r="P60" s="79">
        <v>21</v>
      </c>
      <c r="Q60" s="79">
        <f t="shared" si="3"/>
        <v>43</v>
      </c>
      <c r="R60" s="79">
        <v>21</v>
      </c>
      <c r="S60" s="79">
        <v>21</v>
      </c>
      <c r="T60" s="79">
        <f t="shared" si="4"/>
        <v>42</v>
      </c>
      <c r="U60" s="79">
        <f t="shared" si="5"/>
        <v>63</v>
      </c>
      <c r="V60" s="79">
        <v>23</v>
      </c>
      <c r="W60" s="79">
        <v>23</v>
      </c>
      <c r="X60" s="79">
        <f t="shared" si="6"/>
        <v>46</v>
      </c>
      <c r="Y60" s="79">
        <v>23</v>
      </c>
      <c r="Z60" s="79">
        <v>93</v>
      </c>
      <c r="AA60" s="79">
        <v>93</v>
      </c>
      <c r="AB60" s="79">
        <f t="shared" si="7"/>
        <v>186</v>
      </c>
      <c r="AC60" s="79">
        <v>50</v>
      </c>
      <c r="AD60" s="79">
        <v>14</v>
      </c>
      <c r="AE60" s="79">
        <f t="shared" si="8"/>
        <v>64</v>
      </c>
      <c r="AF60" s="79">
        <v>20</v>
      </c>
      <c r="AG60" s="79">
        <v>20</v>
      </c>
      <c r="AH60" s="79">
        <f t="shared" si="9"/>
        <v>40</v>
      </c>
      <c r="AI60" s="82">
        <f t="shared" si="10"/>
        <v>659</v>
      </c>
      <c r="AJ60" s="106">
        <f t="shared" si="11"/>
        <v>77.529411764705884</v>
      </c>
      <c r="AK60" s="103" t="s">
        <v>326</v>
      </c>
      <c r="AL60" s="77">
        <f t="shared" si="12"/>
        <v>48</v>
      </c>
    </row>
    <row r="61" spans="1:38" x14ac:dyDescent="0.3">
      <c r="A61" s="77">
        <v>55</v>
      </c>
      <c r="B61" s="83">
        <v>265118</v>
      </c>
      <c r="C61" s="83">
        <v>24410260183</v>
      </c>
      <c r="D61" s="88" t="s">
        <v>89</v>
      </c>
      <c r="E61" s="79">
        <v>40</v>
      </c>
      <c r="F61" s="79">
        <v>22</v>
      </c>
      <c r="G61" s="79">
        <f t="shared" si="0"/>
        <v>62</v>
      </c>
      <c r="H61" s="79">
        <v>23</v>
      </c>
      <c r="I61" s="79">
        <v>23</v>
      </c>
      <c r="J61" s="79">
        <f t="shared" si="1"/>
        <v>46</v>
      </c>
      <c r="K61" s="79">
        <v>23</v>
      </c>
      <c r="L61" s="79">
        <v>28</v>
      </c>
      <c r="M61" s="79">
        <v>26</v>
      </c>
      <c r="N61" s="79">
        <f t="shared" si="2"/>
        <v>54</v>
      </c>
      <c r="O61" s="79">
        <v>22</v>
      </c>
      <c r="P61" s="79">
        <v>22</v>
      </c>
      <c r="Q61" s="79">
        <f t="shared" si="3"/>
        <v>44</v>
      </c>
      <c r="R61" s="79">
        <v>22</v>
      </c>
      <c r="S61" s="79">
        <v>21</v>
      </c>
      <c r="T61" s="79">
        <f t="shared" si="4"/>
        <v>43</v>
      </c>
      <c r="U61" s="79">
        <f t="shared" si="5"/>
        <v>64</v>
      </c>
      <c r="V61" s="79">
        <v>22</v>
      </c>
      <c r="W61" s="79">
        <v>22</v>
      </c>
      <c r="X61" s="79">
        <f t="shared" si="6"/>
        <v>44</v>
      </c>
      <c r="Y61" s="79">
        <v>22</v>
      </c>
      <c r="Z61" s="79">
        <v>93</v>
      </c>
      <c r="AA61" s="79">
        <v>94</v>
      </c>
      <c r="AB61" s="79">
        <f t="shared" si="7"/>
        <v>187</v>
      </c>
      <c r="AC61" s="79">
        <v>26</v>
      </c>
      <c r="AD61" s="79">
        <v>23</v>
      </c>
      <c r="AE61" s="79">
        <f t="shared" si="8"/>
        <v>49</v>
      </c>
      <c r="AF61" s="79">
        <v>21</v>
      </c>
      <c r="AG61" s="79">
        <v>21</v>
      </c>
      <c r="AH61" s="79">
        <f t="shared" si="9"/>
        <v>42</v>
      </c>
      <c r="AI61" s="82">
        <f t="shared" si="10"/>
        <v>659</v>
      </c>
      <c r="AJ61" s="106">
        <f t="shared" si="11"/>
        <v>77.529411764705884</v>
      </c>
      <c r="AK61" s="103" t="s">
        <v>326</v>
      </c>
      <c r="AL61" s="77">
        <f t="shared" si="12"/>
        <v>48</v>
      </c>
    </row>
    <row r="62" spans="1:38" x14ac:dyDescent="0.3">
      <c r="A62" s="77">
        <v>56</v>
      </c>
      <c r="B62" s="83">
        <v>265119</v>
      </c>
      <c r="C62" s="83">
        <v>24410260185</v>
      </c>
      <c r="D62" s="88" t="s">
        <v>90</v>
      </c>
      <c r="E62" s="79">
        <v>9</v>
      </c>
      <c r="F62" s="79">
        <v>17</v>
      </c>
      <c r="G62" s="79">
        <f t="shared" si="0"/>
        <v>26</v>
      </c>
      <c r="H62" s="79">
        <v>21</v>
      </c>
      <c r="I62" s="79">
        <v>21</v>
      </c>
      <c r="J62" s="79">
        <f t="shared" si="1"/>
        <v>42</v>
      </c>
      <c r="K62" s="79">
        <v>22</v>
      </c>
      <c r="L62" s="79">
        <v>8</v>
      </c>
      <c r="M62" s="79">
        <v>17</v>
      </c>
      <c r="N62" s="79">
        <f t="shared" si="2"/>
        <v>25</v>
      </c>
      <c r="O62" s="79">
        <v>21</v>
      </c>
      <c r="P62" s="79">
        <v>20</v>
      </c>
      <c r="Q62" s="79">
        <f t="shared" si="3"/>
        <v>41</v>
      </c>
      <c r="R62" s="79">
        <v>20</v>
      </c>
      <c r="S62" s="79">
        <v>22</v>
      </c>
      <c r="T62" s="79">
        <v>44</v>
      </c>
      <c r="U62" s="79">
        <f t="shared" si="5"/>
        <v>66</v>
      </c>
      <c r="V62" s="79">
        <v>22</v>
      </c>
      <c r="W62" s="79">
        <v>18</v>
      </c>
      <c r="X62" s="79">
        <f t="shared" si="6"/>
        <v>40</v>
      </c>
      <c r="Y62" s="79">
        <v>22</v>
      </c>
      <c r="Z62" s="79">
        <v>93</v>
      </c>
      <c r="AA62" s="79">
        <v>94</v>
      </c>
      <c r="AB62" s="79">
        <f t="shared" si="7"/>
        <v>187</v>
      </c>
      <c r="AC62" s="79">
        <v>0</v>
      </c>
      <c r="AD62" s="79">
        <v>11</v>
      </c>
      <c r="AE62" s="79">
        <f t="shared" si="8"/>
        <v>11</v>
      </c>
      <c r="AF62" s="79">
        <v>22</v>
      </c>
      <c r="AG62" s="79">
        <v>22</v>
      </c>
      <c r="AH62" s="79">
        <f t="shared" si="9"/>
        <v>44</v>
      </c>
      <c r="AI62" s="82">
        <f t="shared" si="10"/>
        <v>546</v>
      </c>
      <c r="AJ62" s="106">
        <f t="shared" si="11"/>
        <v>64.235294117647058</v>
      </c>
      <c r="AK62" s="103" t="s">
        <v>325</v>
      </c>
      <c r="AL62" s="77">
        <f t="shared" si="12"/>
        <v>56</v>
      </c>
    </row>
    <row r="63" spans="1:38" x14ac:dyDescent="0.3">
      <c r="A63" s="77">
        <v>57</v>
      </c>
      <c r="B63" s="83">
        <v>265120</v>
      </c>
      <c r="C63" s="83">
        <v>24410260188</v>
      </c>
      <c r="D63" s="88" t="s">
        <v>91</v>
      </c>
      <c r="E63" s="79">
        <v>31</v>
      </c>
      <c r="F63" s="79">
        <v>16</v>
      </c>
      <c r="G63" s="79">
        <f t="shared" si="0"/>
        <v>47</v>
      </c>
      <c r="H63" s="79">
        <v>21</v>
      </c>
      <c r="I63" s="79">
        <v>21</v>
      </c>
      <c r="J63" s="79">
        <f t="shared" si="1"/>
        <v>42</v>
      </c>
      <c r="K63" s="79">
        <v>22</v>
      </c>
      <c r="L63" s="79">
        <v>33</v>
      </c>
      <c r="M63" s="79">
        <v>28</v>
      </c>
      <c r="N63" s="79">
        <f t="shared" si="2"/>
        <v>61</v>
      </c>
      <c r="O63" s="79">
        <v>23</v>
      </c>
      <c r="P63" s="79">
        <v>23</v>
      </c>
      <c r="Q63" s="79">
        <f t="shared" si="3"/>
        <v>46</v>
      </c>
      <c r="R63" s="79">
        <v>23</v>
      </c>
      <c r="S63" s="79">
        <v>22</v>
      </c>
      <c r="T63" s="79">
        <v>43</v>
      </c>
      <c r="U63" s="79">
        <f t="shared" si="5"/>
        <v>65</v>
      </c>
      <c r="V63" s="79">
        <v>22</v>
      </c>
      <c r="W63" s="79">
        <v>22</v>
      </c>
      <c r="X63" s="79">
        <f t="shared" si="6"/>
        <v>44</v>
      </c>
      <c r="Y63" s="79">
        <v>22</v>
      </c>
      <c r="Z63" s="79">
        <v>93</v>
      </c>
      <c r="AA63" s="79">
        <v>93</v>
      </c>
      <c r="AB63" s="79">
        <f t="shared" si="7"/>
        <v>186</v>
      </c>
      <c r="AC63" s="79">
        <v>31</v>
      </c>
      <c r="AD63" s="79">
        <v>17</v>
      </c>
      <c r="AE63" s="79">
        <f t="shared" si="8"/>
        <v>48</v>
      </c>
      <c r="AF63" s="79">
        <v>21</v>
      </c>
      <c r="AG63" s="79">
        <v>21</v>
      </c>
      <c r="AH63" s="79">
        <f t="shared" si="9"/>
        <v>42</v>
      </c>
      <c r="AI63" s="82">
        <f t="shared" si="10"/>
        <v>648</v>
      </c>
      <c r="AJ63" s="106">
        <f t="shared" si="11"/>
        <v>76.235294117647058</v>
      </c>
      <c r="AK63" s="103" t="s">
        <v>326</v>
      </c>
      <c r="AL63" s="77">
        <f t="shared" si="12"/>
        <v>53</v>
      </c>
    </row>
    <row r="64" spans="1:38" x14ac:dyDescent="0.3">
      <c r="A64" s="77"/>
      <c r="B64" s="83"/>
      <c r="C64" s="83"/>
      <c r="D64" s="83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2"/>
      <c r="AA64" s="92"/>
      <c r="AB64" s="92"/>
      <c r="AC64" s="91"/>
      <c r="AD64" s="91"/>
      <c r="AE64" s="91"/>
      <c r="AF64" s="91"/>
      <c r="AG64" s="91"/>
      <c r="AH64" s="91"/>
      <c r="AI64" s="91"/>
      <c r="AJ64" s="91"/>
      <c r="AK64" s="103"/>
      <c r="AL64" s="77"/>
    </row>
    <row r="65" spans="1:38" x14ac:dyDescent="0.3">
      <c r="A65" s="77"/>
      <c r="B65" s="83"/>
      <c r="C65" s="83"/>
      <c r="D65" s="83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79"/>
      <c r="AA65" s="79"/>
      <c r="AB65" s="79"/>
      <c r="AC65" s="82"/>
      <c r="AD65" s="82"/>
      <c r="AE65" s="82"/>
      <c r="AF65" s="82"/>
      <c r="AG65" s="82"/>
      <c r="AH65" s="82"/>
      <c r="AI65" s="82"/>
      <c r="AJ65" s="82"/>
      <c r="AK65" s="103"/>
      <c r="AL65" s="77"/>
    </row>
    <row r="66" spans="1:38" x14ac:dyDescent="0.3">
      <c r="A66" s="77"/>
      <c r="B66" s="83"/>
      <c r="C66" s="83"/>
      <c r="D66" s="83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79"/>
      <c r="AA66" s="79"/>
      <c r="AB66" s="79"/>
      <c r="AC66" s="82"/>
      <c r="AD66" s="82"/>
      <c r="AE66" s="82"/>
      <c r="AF66" s="82"/>
      <c r="AG66" s="82"/>
      <c r="AH66" s="82"/>
      <c r="AI66" s="82"/>
      <c r="AJ66" s="82"/>
      <c r="AK66" s="103"/>
      <c r="AL66" s="77"/>
    </row>
    <row r="67" spans="1:38" x14ac:dyDescent="0.3">
      <c r="A67" s="77"/>
      <c r="B67" s="83"/>
      <c r="C67" s="83"/>
      <c r="D67" s="83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79"/>
      <c r="AA67" s="79"/>
      <c r="AB67" s="79"/>
      <c r="AC67" s="82"/>
      <c r="AD67" s="82"/>
      <c r="AE67" s="82"/>
      <c r="AF67" s="82"/>
      <c r="AG67" s="82"/>
      <c r="AH67" s="82"/>
      <c r="AI67" s="82"/>
      <c r="AJ67" s="82"/>
      <c r="AK67" s="103"/>
      <c r="AL67" s="77"/>
    </row>
    <row r="68" spans="1:38" x14ac:dyDescent="0.3">
      <c r="A68" s="77"/>
      <c r="B68" s="83"/>
      <c r="C68" s="83"/>
      <c r="D68" s="83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79"/>
      <c r="AA68" s="79"/>
      <c r="AB68" s="79"/>
      <c r="AC68" s="82"/>
      <c r="AD68" s="82"/>
      <c r="AE68" s="82"/>
      <c r="AF68" s="82"/>
      <c r="AG68" s="82"/>
      <c r="AH68" s="82"/>
      <c r="AI68" s="82"/>
      <c r="AJ68" s="82"/>
      <c r="AK68" s="103"/>
      <c r="AL68" s="77"/>
    </row>
    <row r="69" spans="1:38" x14ac:dyDescent="0.3">
      <c r="A69" s="77"/>
      <c r="B69" s="83"/>
      <c r="C69" s="83"/>
      <c r="D69" s="83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79"/>
      <c r="AA69" s="79"/>
      <c r="AB69" s="79"/>
      <c r="AC69" s="82"/>
      <c r="AD69" s="82"/>
      <c r="AE69" s="82"/>
      <c r="AF69" s="82"/>
      <c r="AG69" s="82"/>
      <c r="AH69" s="82"/>
      <c r="AI69" s="82"/>
      <c r="AJ69" s="82"/>
      <c r="AK69" s="103"/>
      <c r="AL69" s="77"/>
    </row>
    <row r="70" spans="1:38" x14ac:dyDescent="0.3">
      <c r="A70" s="77"/>
      <c r="B70" s="83"/>
      <c r="C70" s="83"/>
      <c r="D70" s="83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79"/>
      <c r="AA70" s="79"/>
      <c r="AB70" s="79"/>
      <c r="AC70" s="82"/>
      <c r="AD70" s="82"/>
      <c r="AE70" s="82"/>
      <c r="AF70" s="82"/>
      <c r="AG70" s="82"/>
      <c r="AH70" s="82"/>
      <c r="AI70" s="82"/>
      <c r="AJ70" s="82"/>
      <c r="AK70" s="103"/>
      <c r="AL70" s="77"/>
    </row>
    <row r="71" spans="1:38" x14ac:dyDescent="0.3">
      <c r="A71" s="77"/>
      <c r="B71" s="83"/>
      <c r="C71" s="83"/>
      <c r="D71" s="83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79"/>
      <c r="AA71" s="79"/>
      <c r="AB71" s="79"/>
      <c r="AC71" s="82"/>
      <c r="AD71" s="82"/>
      <c r="AE71" s="82"/>
      <c r="AF71" s="82"/>
      <c r="AG71" s="82"/>
      <c r="AH71" s="82"/>
      <c r="AI71" s="82"/>
      <c r="AJ71" s="82"/>
      <c r="AK71" s="103"/>
      <c r="AL71" s="77"/>
    </row>
    <row r="72" spans="1:38" x14ac:dyDescent="0.3">
      <c r="A72" s="77"/>
      <c r="B72" s="83"/>
      <c r="C72" s="83"/>
      <c r="D72" s="83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79"/>
      <c r="AA72" s="79"/>
      <c r="AB72" s="79"/>
      <c r="AC72" s="82"/>
      <c r="AD72" s="82"/>
      <c r="AE72" s="82"/>
      <c r="AF72" s="82"/>
      <c r="AG72" s="82"/>
      <c r="AH72" s="82"/>
      <c r="AI72" s="82"/>
      <c r="AJ72" s="82"/>
      <c r="AK72" s="103"/>
      <c r="AL72" s="77"/>
    </row>
    <row r="73" spans="1:38" x14ac:dyDescent="0.3">
      <c r="A73" s="77"/>
      <c r="B73" s="83"/>
      <c r="C73" s="83"/>
      <c r="D73" s="83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79"/>
      <c r="AA73" s="79"/>
      <c r="AB73" s="79"/>
      <c r="AC73" s="82"/>
      <c r="AD73" s="82"/>
      <c r="AE73" s="82"/>
      <c r="AF73" s="82"/>
      <c r="AG73" s="82"/>
      <c r="AH73" s="82"/>
      <c r="AI73" s="82"/>
      <c r="AJ73" s="82"/>
      <c r="AK73" s="103"/>
      <c r="AL73" s="77"/>
    </row>
    <row r="74" spans="1:38" x14ac:dyDescent="0.3">
      <c r="A74" s="77"/>
      <c r="B74" s="83"/>
      <c r="C74" s="83"/>
      <c r="D74" s="83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79"/>
      <c r="AA74" s="79"/>
      <c r="AB74" s="79"/>
      <c r="AC74" s="82"/>
      <c r="AD74" s="82"/>
      <c r="AE74" s="82"/>
      <c r="AF74" s="82"/>
      <c r="AG74" s="82"/>
      <c r="AH74" s="82"/>
      <c r="AI74" s="82"/>
      <c r="AJ74" s="82"/>
      <c r="AK74" s="103"/>
      <c r="AL74" s="77"/>
    </row>
    <row r="75" spans="1:38" x14ac:dyDescent="0.3">
      <c r="A75" s="77"/>
      <c r="B75" s="83"/>
      <c r="C75" s="83"/>
      <c r="D75" s="83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79"/>
      <c r="AA75" s="79"/>
      <c r="AB75" s="79"/>
      <c r="AC75" s="82"/>
      <c r="AD75" s="82"/>
      <c r="AE75" s="82"/>
      <c r="AF75" s="82"/>
      <c r="AG75" s="82"/>
      <c r="AH75" s="82"/>
      <c r="AI75" s="82"/>
      <c r="AJ75" s="82"/>
      <c r="AK75" s="103"/>
      <c r="AL75" s="77"/>
    </row>
    <row r="76" spans="1:38" x14ac:dyDescent="0.3">
      <c r="A76" s="77"/>
      <c r="B76" s="83"/>
      <c r="C76" s="83"/>
      <c r="D76" s="83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79"/>
      <c r="AA76" s="79"/>
      <c r="AB76" s="79"/>
      <c r="AC76" s="82"/>
      <c r="AD76" s="82"/>
      <c r="AE76" s="82"/>
      <c r="AF76" s="82"/>
      <c r="AG76" s="82"/>
      <c r="AH76" s="82"/>
      <c r="AI76" s="82"/>
      <c r="AJ76" s="82"/>
      <c r="AK76" s="103"/>
      <c r="AL76" s="77"/>
    </row>
    <row r="77" spans="1:38" x14ac:dyDescent="0.3">
      <c r="A77" s="77"/>
      <c r="B77" s="83"/>
      <c r="C77" s="83"/>
      <c r="D77" s="83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79"/>
      <c r="AA77" s="79"/>
      <c r="AB77" s="79"/>
      <c r="AC77" s="82"/>
      <c r="AD77" s="82"/>
      <c r="AE77" s="82"/>
      <c r="AF77" s="82"/>
      <c r="AG77" s="82"/>
      <c r="AH77" s="82"/>
      <c r="AI77" s="82"/>
      <c r="AJ77" s="82"/>
      <c r="AK77" s="103"/>
      <c r="AL77" s="77"/>
    </row>
    <row r="78" spans="1:38" x14ac:dyDescent="0.3">
      <c r="A78" s="77"/>
      <c r="B78" s="83"/>
      <c r="C78" s="83"/>
      <c r="D78" s="83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79"/>
      <c r="AA78" s="79"/>
      <c r="AB78" s="79"/>
      <c r="AC78" s="82"/>
      <c r="AD78" s="82"/>
      <c r="AE78" s="82"/>
      <c r="AF78" s="82"/>
      <c r="AG78" s="82"/>
      <c r="AH78" s="82"/>
      <c r="AI78" s="82"/>
      <c r="AJ78" s="82"/>
      <c r="AK78" s="103"/>
      <c r="AL78" s="77"/>
    </row>
    <row r="79" spans="1:38" x14ac:dyDescent="0.3">
      <c r="A79" s="77"/>
      <c r="B79" s="77"/>
      <c r="C79" s="77"/>
      <c r="D79" s="77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77"/>
      <c r="AJ79" s="77"/>
      <c r="AK79" s="103"/>
      <c r="AL79" s="77"/>
    </row>
    <row r="80" spans="1:38" x14ac:dyDescent="0.3">
      <c r="A80" s="77"/>
      <c r="B80" s="77"/>
      <c r="C80" s="77"/>
      <c r="D80" s="83" t="s">
        <v>9</v>
      </c>
      <c r="E80" s="79">
        <f t="shared" ref="E80:AI80" si="13">MIN(E7:E63)</f>
        <v>9</v>
      </c>
      <c r="F80" s="79">
        <f t="shared" si="13"/>
        <v>4</v>
      </c>
      <c r="G80" s="79">
        <f t="shared" si="13"/>
        <v>13</v>
      </c>
      <c r="H80" s="79">
        <f t="shared" si="13"/>
        <v>20</v>
      </c>
      <c r="I80" s="79">
        <f t="shared" si="13"/>
        <v>20</v>
      </c>
      <c r="J80" s="79">
        <f t="shared" si="13"/>
        <v>40</v>
      </c>
      <c r="K80" s="79">
        <f t="shared" si="13"/>
        <v>21</v>
      </c>
      <c r="L80" s="79">
        <f t="shared" si="13"/>
        <v>8</v>
      </c>
      <c r="M80" s="79">
        <f t="shared" si="13"/>
        <v>16</v>
      </c>
      <c r="N80" s="79">
        <f t="shared" si="13"/>
        <v>25</v>
      </c>
      <c r="O80" s="79">
        <f t="shared" si="13"/>
        <v>21</v>
      </c>
      <c r="P80" s="79">
        <f t="shared" si="13"/>
        <v>20</v>
      </c>
      <c r="Q80" s="79">
        <f t="shared" si="13"/>
        <v>41</v>
      </c>
      <c r="R80" s="79">
        <f t="shared" si="13"/>
        <v>20</v>
      </c>
      <c r="S80" s="79">
        <f t="shared" si="13"/>
        <v>17</v>
      </c>
      <c r="T80" s="79">
        <f t="shared" si="13"/>
        <v>35</v>
      </c>
      <c r="U80" s="79">
        <f t="shared" si="13"/>
        <v>52</v>
      </c>
      <c r="V80" s="79">
        <f t="shared" si="13"/>
        <v>22</v>
      </c>
      <c r="W80" s="79">
        <f t="shared" si="13"/>
        <v>18</v>
      </c>
      <c r="X80" s="79">
        <f t="shared" si="13"/>
        <v>40</v>
      </c>
      <c r="Y80" s="79">
        <f t="shared" si="13"/>
        <v>22</v>
      </c>
      <c r="Z80" s="79">
        <f t="shared" si="13"/>
        <v>81</v>
      </c>
      <c r="AA80" s="79">
        <f t="shared" si="13"/>
        <v>84</v>
      </c>
      <c r="AB80" s="79">
        <f t="shared" si="13"/>
        <v>166</v>
      </c>
      <c r="AC80" s="79">
        <f t="shared" si="13"/>
        <v>0</v>
      </c>
      <c r="AD80" s="79">
        <f t="shared" si="13"/>
        <v>11</v>
      </c>
      <c r="AE80" s="79">
        <f t="shared" si="13"/>
        <v>11</v>
      </c>
      <c r="AF80" s="79">
        <f t="shared" si="13"/>
        <v>20</v>
      </c>
      <c r="AG80" s="79">
        <f t="shared" si="13"/>
        <v>20</v>
      </c>
      <c r="AH80" s="79">
        <f t="shared" si="13"/>
        <v>40</v>
      </c>
      <c r="AI80" s="79">
        <f t="shared" si="13"/>
        <v>545</v>
      </c>
      <c r="AJ80" s="79"/>
      <c r="AK80" s="103"/>
      <c r="AL80" s="77"/>
    </row>
    <row r="81" spans="1:38" x14ac:dyDescent="0.3">
      <c r="A81" s="77"/>
      <c r="B81" s="77"/>
      <c r="C81" s="77"/>
      <c r="D81" s="83" t="s">
        <v>10</v>
      </c>
      <c r="E81" s="79">
        <f t="shared" ref="E81:AI81" si="14">MAX(E7:E63)</f>
        <v>65</v>
      </c>
      <c r="F81" s="79">
        <f t="shared" si="14"/>
        <v>30</v>
      </c>
      <c r="G81" s="79">
        <f t="shared" si="14"/>
        <v>94</v>
      </c>
      <c r="H81" s="79">
        <f t="shared" si="14"/>
        <v>24</v>
      </c>
      <c r="I81" s="79">
        <f t="shared" si="14"/>
        <v>23</v>
      </c>
      <c r="J81" s="79">
        <f t="shared" si="14"/>
        <v>47</v>
      </c>
      <c r="K81" s="79">
        <f t="shared" si="14"/>
        <v>24</v>
      </c>
      <c r="L81" s="79">
        <f t="shared" si="14"/>
        <v>69</v>
      </c>
      <c r="M81" s="79">
        <f t="shared" si="14"/>
        <v>30</v>
      </c>
      <c r="N81" s="79">
        <f t="shared" si="14"/>
        <v>99</v>
      </c>
      <c r="O81" s="79">
        <f t="shared" si="14"/>
        <v>23</v>
      </c>
      <c r="P81" s="79">
        <f t="shared" si="14"/>
        <v>23</v>
      </c>
      <c r="Q81" s="79">
        <f t="shared" si="14"/>
        <v>46</v>
      </c>
      <c r="R81" s="79">
        <f t="shared" si="14"/>
        <v>23</v>
      </c>
      <c r="S81" s="79">
        <f t="shared" si="14"/>
        <v>23</v>
      </c>
      <c r="T81" s="79">
        <f t="shared" si="14"/>
        <v>46</v>
      </c>
      <c r="U81" s="79">
        <f t="shared" si="14"/>
        <v>69</v>
      </c>
      <c r="V81" s="79">
        <f t="shared" si="14"/>
        <v>23</v>
      </c>
      <c r="W81" s="79">
        <f t="shared" si="14"/>
        <v>23</v>
      </c>
      <c r="X81" s="79">
        <f t="shared" si="14"/>
        <v>46</v>
      </c>
      <c r="Y81" s="79">
        <f t="shared" si="14"/>
        <v>23</v>
      </c>
      <c r="Z81" s="79">
        <f t="shared" si="14"/>
        <v>97</v>
      </c>
      <c r="AA81" s="79">
        <f t="shared" si="14"/>
        <v>97</v>
      </c>
      <c r="AB81" s="79">
        <f t="shared" si="14"/>
        <v>194</v>
      </c>
      <c r="AC81" s="79">
        <f t="shared" si="14"/>
        <v>69</v>
      </c>
      <c r="AD81" s="79">
        <f t="shared" si="14"/>
        <v>30</v>
      </c>
      <c r="AE81" s="79">
        <f t="shared" si="14"/>
        <v>97</v>
      </c>
      <c r="AF81" s="79">
        <f t="shared" si="14"/>
        <v>23</v>
      </c>
      <c r="AG81" s="79">
        <f t="shared" si="14"/>
        <v>23</v>
      </c>
      <c r="AH81" s="79">
        <f t="shared" si="14"/>
        <v>46</v>
      </c>
      <c r="AI81" s="79">
        <f t="shared" si="14"/>
        <v>788</v>
      </c>
      <c r="AJ81" s="79"/>
      <c r="AK81" s="103"/>
      <c r="AL81" s="77"/>
    </row>
    <row r="82" spans="1:38" x14ac:dyDescent="0.3">
      <c r="A82" s="77"/>
      <c r="B82" s="77"/>
      <c r="C82" s="77"/>
      <c r="D82" s="83" t="s">
        <v>11</v>
      </c>
      <c r="E82" s="79">
        <f t="shared" ref="E82:AI82" si="15">COUNTIF(E7:E63,"&gt;=0")</f>
        <v>57</v>
      </c>
      <c r="F82" s="79">
        <f t="shared" si="15"/>
        <v>57</v>
      </c>
      <c r="G82" s="79">
        <f t="shared" si="15"/>
        <v>57</v>
      </c>
      <c r="H82" s="79">
        <f t="shared" si="15"/>
        <v>57</v>
      </c>
      <c r="I82" s="79">
        <f t="shared" si="15"/>
        <v>57</v>
      </c>
      <c r="J82" s="79">
        <f t="shared" si="15"/>
        <v>57</v>
      </c>
      <c r="K82" s="79">
        <f t="shared" si="15"/>
        <v>57</v>
      </c>
      <c r="L82" s="79">
        <f t="shared" si="15"/>
        <v>57</v>
      </c>
      <c r="M82" s="79">
        <f t="shared" si="15"/>
        <v>57</v>
      </c>
      <c r="N82" s="79">
        <f t="shared" si="15"/>
        <v>57</v>
      </c>
      <c r="O82" s="79">
        <f t="shared" si="15"/>
        <v>57</v>
      </c>
      <c r="P82" s="79">
        <f t="shared" si="15"/>
        <v>57</v>
      </c>
      <c r="Q82" s="79">
        <f t="shared" si="15"/>
        <v>57</v>
      </c>
      <c r="R82" s="79">
        <f t="shared" si="15"/>
        <v>57</v>
      </c>
      <c r="S82" s="79">
        <f t="shared" si="15"/>
        <v>57</v>
      </c>
      <c r="T82" s="79">
        <f t="shared" si="15"/>
        <v>57</v>
      </c>
      <c r="U82" s="79">
        <f t="shared" si="15"/>
        <v>57</v>
      </c>
      <c r="V82" s="79">
        <f t="shared" si="15"/>
        <v>57</v>
      </c>
      <c r="W82" s="79">
        <f t="shared" si="15"/>
        <v>57</v>
      </c>
      <c r="X82" s="79">
        <f t="shared" si="15"/>
        <v>57</v>
      </c>
      <c r="Y82" s="79">
        <f t="shared" si="15"/>
        <v>57</v>
      </c>
      <c r="Z82" s="79">
        <f t="shared" si="15"/>
        <v>57</v>
      </c>
      <c r="AA82" s="79">
        <f t="shared" si="15"/>
        <v>57</v>
      </c>
      <c r="AB82" s="79">
        <f t="shared" si="15"/>
        <v>57</v>
      </c>
      <c r="AC82" s="79">
        <f t="shared" si="15"/>
        <v>57</v>
      </c>
      <c r="AD82" s="79">
        <f t="shared" si="15"/>
        <v>57</v>
      </c>
      <c r="AE82" s="79">
        <f t="shared" si="15"/>
        <v>57</v>
      </c>
      <c r="AF82" s="79">
        <f t="shared" si="15"/>
        <v>57</v>
      </c>
      <c r="AG82" s="79">
        <f t="shared" si="15"/>
        <v>57</v>
      </c>
      <c r="AH82" s="79">
        <f t="shared" si="15"/>
        <v>57</v>
      </c>
      <c r="AI82" s="79">
        <f t="shared" si="15"/>
        <v>57</v>
      </c>
      <c r="AJ82" s="79"/>
      <c r="AK82" s="103"/>
      <c r="AL82" s="77"/>
    </row>
    <row r="83" spans="1:38" x14ac:dyDescent="0.3">
      <c r="A83" s="77"/>
      <c r="B83" s="77"/>
      <c r="C83" s="77"/>
      <c r="D83" s="83" t="s">
        <v>12</v>
      </c>
      <c r="E83" s="79">
        <f t="shared" ref="E83:AI83" si="16">COUNTIF(E7:E63,"&gt;="&amp;E1)</f>
        <v>0</v>
      </c>
      <c r="F83" s="79">
        <f t="shared" si="16"/>
        <v>0</v>
      </c>
      <c r="G83" s="79">
        <f t="shared" si="16"/>
        <v>43</v>
      </c>
      <c r="H83" s="79">
        <f t="shared" si="16"/>
        <v>57</v>
      </c>
      <c r="I83" s="79">
        <f t="shared" si="16"/>
        <v>57</v>
      </c>
      <c r="J83" s="79">
        <f t="shared" si="16"/>
        <v>0</v>
      </c>
      <c r="K83" s="79">
        <f t="shared" si="16"/>
        <v>57</v>
      </c>
      <c r="L83" s="79">
        <f t="shared" si="16"/>
        <v>0</v>
      </c>
      <c r="M83" s="79">
        <f t="shared" si="16"/>
        <v>0</v>
      </c>
      <c r="N83" s="79">
        <f t="shared" si="16"/>
        <v>51</v>
      </c>
      <c r="O83" s="79">
        <f t="shared" si="16"/>
        <v>57</v>
      </c>
      <c r="P83" s="79">
        <f t="shared" si="16"/>
        <v>57</v>
      </c>
      <c r="Q83" s="79">
        <f t="shared" si="16"/>
        <v>0</v>
      </c>
      <c r="R83" s="79">
        <f t="shared" si="16"/>
        <v>57</v>
      </c>
      <c r="S83" s="79">
        <f t="shared" si="16"/>
        <v>57</v>
      </c>
      <c r="T83" s="79">
        <f t="shared" si="16"/>
        <v>57</v>
      </c>
      <c r="U83" s="79">
        <f t="shared" si="16"/>
        <v>0</v>
      </c>
      <c r="V83" s="79">
        <f t="shared" si="16"/>
        <v>57</v>
      </c>
      <c r="W83" s="79">
        <f t="shared" si="16"/>
        <v>57</v>
      </c>
      <c r="X83" s="79">
        <f t="shared" si="16"/>
        <v>0</v>
      </c>
      <c r="Y83" s="79">
        <f t="shared" si="16"/>
        <v>57</v>
      </c>
      <c r="Z83" s="79">
        <f t="shared" si="16"/>
        <v>57</v>
      </c>
      <c r="AA83" s="79">
        <f t="shared" si="16"/>
        <v>57</v>
      </c>
      <c r="AB83" s="79">
        <f t="shared" si="16"/>
        <v>0</v>
      </c>
      <c r="AC83" s="79">
        <f t="shared" si="16"/>
        <v>0</v>
      </c>
      <c r="AD83" s="79">
        <f t="shared" si="16"/>
        <v>0</v>
      </c>
      <c r="AE83" s="79">
        <f t="shared" si="16"/>
        <v>42</v>
      </c>
      <c r="AF83" s="79">
        <f t="shared" si="16"/>
        <v>57</v>
      </c>
      <c r="AG83" s="79">
        <f t="shared" si="16"/>
        <v>57</v>
      </c>
      <c r="AH83" s="79">
        <f t="shared" si="16"/>
        <v>0</v>
      </c>
      <c r="AI83" s="79">
        <f t="shared" si="16"/>
        <v>0</v>
      </c>
      <c r="AJ83" s="79"/>
      <c r="AK83" s="103"/>
      <c r="AL83" s="77"/>
    </row>
    <row r="84" spans="1:38" x14ac:dyDescent="0.3">
      <c r="A84" s="77"/>
      <c r="B84" s="77"/>
      <c r="C84" s="77"/>
      <c r="D84" s="83" t="s">
        <v>14</v>
      </c>
      <c r="E84" s="79">
        <f>COUNTIF(E7:E63,"&gt;="&amp;E1)</f>
        <v>0</v>
      </c>
      <c r="F84" s="79">
        <f t="shared" ref="F84:AI84" si="17">COUNTIF(F7:F63,"&gt;="&amp;F1)</f>
        <v>0</v>
      </c>
      <c r="G84" s="79">
        <f t="shared" si="17"/>
        <v>43</v>
      </c>
      <c r="H84" s="79">
        <f t="shared" si="17"/>
        <v>57</v>
      </c>
      <c r="I84" s="79">
        <f t="shared" si="17"/>
        <v>57</v>
      </c>
      <c r="J84" s="79">
        <f t="shared" si="17"/>
        <v>0</v>
      </c>
      <c r="K84" s="79">
        <f t="shared" si="17"/>
        <v>57</v>
      </c>
      <c r="L84" s="79">
        <f t="shared" si="17"/>
        <v>0</v>
      </c>
      <c r="M84" s="79">
        <f t="shared" si="17"/>
        <v>0</v>
      </c>
      <c r="N84" s="79">
        <f t="shared" si="17"/>
        <v>51</v>
      </c>
      <c r="O84" s="79">
        <f t="shared" si="17"/>
        <v>57</v>
      </c>
      <c r="P84" s="79">
        <f t="shared" si="17"/>
        <v>57</v>
      </c>
      <c r="Q84" s="79">
        <f t="shared" si="17"/>
        <v>0</v>
      </c>
      <c r="R84" s="79">
        <f t="shared" si="17"/>
        <v>57</v>
      </c>
      <c r="S84" s="79">
        <f t="shared" si="17"/>
        <v>57</v>
      </c>
      <c r="T84" s="79">
        <f t="shared" si="17"/>
        <v>57</v>
      </c>
      <c r="U84" s="79">
        <f t="shared" si="17"/>
        <v>0</v>
      </c>
      <c r="V84" s="79">
        <f t="shared" si="17"/>
        <v>57</v>
      </c>
      <c r="W84" s="79">
        <f t="shared" si="17"/>
        <v>57</v>
      </c>
      <c r="X84" s="79">
        <f t="shared" si="17"/>
        <v>0</v>
      </c>
      <c r="Y84" s="79">
        <f t="shared" si="17"/>
        <v>57</v>
      </c>
      <c r="Z84" s="79">
        <f t="shared" si="17"/>
        <v>57</v>
      </c>
      <c r="AA84" s="79">
        <f t="shared" si="17"/>
        <v>57</v>
      </c>
      <c r="AB84" s="79">
        <f t="shared" si="17"/>
        <v>0</v>
      </c>
      <c r="AC84" s="79">
        <f t="shared" si="17"/>
        <v>0</v>
      </c>
      <c r="AD84" s="79">
        <f t="shared" si="17"/>
        <v>0</v>
      </c>
      <c r="AE84" s="79">
        <f t="shared" si="17"/>
        <v>42</v>
      </c>
      <c r="AF84" s="79">
        <f t="shared" si="17"/>
        <v>57</v>
      </c>
      <c r="AG84" s="79">
        <f t="shared" si="17"/>
        <v>57</v>
      </c>
      <c r="AH84" s="79">
        <f t="shared" si="17"/>
        <v>0</v>
      </c>
      <c r="AI84" s="79">
        <f t="shared" si="17"/>
        <v>0</v>
      </c>
      <c r="AJ84" s="79"/>
      <c r="AK84" s="103"/>
      <c r="AL84" s="77"/>
    </row>
    <row r="85" spans="1:38" x14ac:dyDescent="0.3">
      <c r="A85" s="77"/>
      <c r="B85" s="77"/>
      <c r="C85" s="77"/>
      <c r="D85" s="83" t="s">
        <v>15</v>
      </c>
      <c r="E85" s="79">
        <f>SUM(E7:E63)</f>
        <v>2684</v>
      </c>
      <c r="F85" s="79">
        <f t="shared" ref="F85:AI85" si="18">SUM(F7:F63)</f>
        <v>1257</v>
      </c>
      <c r="G85" s="79">
        <f t="shared" si="18"/>
        <v>3941</v>
      </c>
      <c r="H85" s="79">
        <f t="shared" si="18"/>
        <v>1286</v>
      </c>
      <c r="I85" s="79">
        <f t="shared" si="18"/>
        <v>1278</v>
      </c>
      <c r="J85" s="79">
        <f t="shared" si="18"/>
        <v>2564</v>
      </c>
      <c r="K85" s="79">
        <f t="shared" si="18"/>
        <v>1293</v>
      </c>
      <c r="L85" s="79">
        <f t="shared" si="18"/>
        <v>2916</v>
      </c>
      <c r="M85" s="79">
        <f t="shared" si="18"/>
        <v>1613</v>
      </c>
      <c r="N85" s="79">
        <f t="shared" si="18"/>
        <v>4529</v>
      </c>
      <c r="O85" s="79">
        <f t="shared" si="18"/>
        <v>1300</v>
      </c>
      <c r="P85" s="79">
        <f t="shared" si="18"/>
        <v>1294</v>
      </c>
      <c r="Q85" s="79">
        <f t="shared" si="18"/>
        <v>2594</v>
      </c>
      <c r="R85" s="79">
        <f t="shared" si="18"/>
        <v>1294</v>
      </c>
      <c r="S85" s="79">
        <f t="shared" si="18"/>
        <v>1222</v>
      </c>
      <c r="T85" s="79">
        <f t="shared" si="18"/>
        <v>2483</v>
      </c>
      <c r="U85" s="79">
        <f t="shared" si="18"/>
        <v>3705</v>
      </c>
      <c r="V85" s="79">
        <f t="shared" si="18"/>
        <v>1279</v>
      </c>
      <c r="W85" s="79">
        <f t="shared" si="18"/>
        <v>1259</v>
      </c>
      <c r="X85" s="79">
        <f t="shared" si="18"/>
        <v>2538</v>
      </c>
      <c r="Y85" s="79">
        <f t="shared" si="18"/>
        <v>1279</v>
      </c>
      <c r="Z85" s="79">
        <f t="shared" si="18"/>
        <v>5272</v>
      </c>
      <c r="AA85" s="79">
        <f t="shared" si="18"/>
        <v>5275</v>
      </c>
      <c r="AB85" s="79">
        <f t="shared" si="18"/>
        <v>10547</v>
      </c>
      <c r="AC85" s="79">
        <f t="shared" si="18"/>
        <v>2860</v>
      </c>
      <c r="AD85" s="79">
        <f t="shared" si="18"/>
        <v>1177</v>
      </c>
      <c r="AE85" s="79">
        <f t="shared" si="18"/>
        <v>4037</v>
      </c>
      <c r="AF85" s="79">
        <f t="shared" si="18"/>
        <v>1216</v>
      </c>
      <c r="AG85" s="79">
        <f t="shared" si="18"/>
        <v>1216</v>
      </c>
      <c r="AH85" s="79">
        <f t="shared" si="18"/>
        <v>2432</v>
      </c>
      <c r="AI85" s="79">
        <f t="shared" si="18"/>
        <v>40753</v>
      </c>
      <c r="AJ85" s="79"/>
      <c r="AK85" s="103"/>
      <c r="AL85" s="77"/>
    </row>
    <row r="86" spans="1:38" x14ac:dyDescent="0.3">
      <c r="D86" s="75" t="s">
        <v>319</v>
      </c>
      <c r="E86" s="76">
        <f>E82*E6</f>
        <v>3990</v>
      </c>
      <c r="F86" s="76">
        <f t="shared" ref="F86:AI86" si="19">F82*F6</f>
        <v>1710</v>
      </c>
      <c r="G86" s="76">
        <f t="shared" si="19"/>
        <v>5700</v>
      </c>
      <c r="H86" s="76">
        <f t="shared" si="19"/>
        <v>1425</v>
      </c>
      <c r="I86" s="76">
        <f t="shared" si="19"/>
        <v>1425</v>
      </c>
      <c r="J86" s="76">
        <f t="shared" si="19"/>
        <v>2850</v>
      </c>
      <c r="K86" s="76">
        <f t="shared" si="19"/>
        <v>1425</v>
      </c>
      <c r="L86" s="76">
        <f t="shared" si="19"/>
        <v>3990</v>
      </c>
      <c r="M86" s="76">
        <f t="shared" si="19"/>
        <v>1710</v>
      </c>
      <c r="N86" s="76">
        <f t="shared" si="19"/>
        <v>5700</v>
      </c>
      <c r="O86" s="76">
        <f t="shared" si="19"/>
        <v>1425</v>
      </c>
      <c r="P86" s="76">
        <f t="shared" si="19"/>
        <v>1425</v>
      </c>
      <c r="Q86" s="76">
        <f t="shared" si="19"/>
        <v>2850</v>
      </c>
      <c r="R86" s="76">
        <f t="shared" si="19"/>
        <v>1425</v>
      </c>
      <c r="S86" s="76">
        <f t="shared" si="19"/>
        <v>1425</v>
      </c>
      <c r="T86" s="76">
        <f t="shared" si="19"/>
        <v>2850</v>
      </c>
      <c r="U86" s="76">
        <f t="shared" si="19"/>
        <v>4275</v>
      </c>
      <c r="V86" s="76">
        <f t="shared" si="19"/>
        <v>1425</v>
      </c>
      <c r="W86" s="76">
        <f t="shared" si="19"/>
        <v>1425</v>
      </c>
      <c r="X86" s="76">
        <f t="shared" si="19"/>
        <v>2850</v>
      </c>
      <c r="Y86" s="76">
        <f t="shared" si="19"/>
        <v>1425</v>
      </c>
      <c r="Z86" s="76">
        <f t="shared" si="19"/>
        <v>5700</v>
      </c>
      <c r="AA86" s="76">
        <f t="shared" si="19"/>
        <v>5700</v>
      </c>
      <c r="AB86" s="76">
        <f t="shared" si="19"/>
        <v>11400</v>
      </c>
      <c r="AC86" s="76">
        <f t="shared" si="19"/>
        <v>3990</v>
      </c>
      <c r="AD86" s="76">
        <f t="shared" si="19"/>
        <v>1710</v>
      </c>
      <c r="AE86" s="76">
        <f t="shared" si="19"/>
        <v>5700</v>
      </c>
      <c r="AF86" s="76">
        <f t="shared" si="19"/>
        <v>1425</v>
      </c>
      <c r="AG86" s="76">
        <f t="shared" si="19"/>
        <v>1425</v>
      </c>
      <c r="AH86" s="76">
        <f t="shared" si="19"/>
        <v>2850</v>
      </c>
      <c r="AI86" s="76">
        <f t="shared" si="19"/>
        <v>48450</v>
      </c>
      <c r="AJ86" s="76"/>
    </row>
  </sheetData>
  <autoFilter ref="A1:AL63" xr:uid="{00000000-0009-0000-0000-000002000000}"/>
  <pageMargins left="0.7" right="0.7" top="0.75" bottom="0.75" header="0.3" footer="0.3"/>
  <pageSetup paperSize="8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86"/>
  <sheetViews>
    <sheetView topLeftCell="O1" workbookViewId="0">
      <pane ySplit="6" topLeftCell="A7" activePane="bottomLeft" state="frozen"/>
      <selection pane="bottomLeft" sqref="A1:AJ6"/>
    </sheetView>
  </sheetViews>
  <sheetFormatPr defaultColWidth="9.109375" defaultRowHeight="15.6" x14ac:dyDescent="0.3"/>
  <cols>
    <col min="1" max="2" width="9.109375" style="3"/>
    <col min="3" max="3" width="14.5546875" style="3" customWidth="1"/>
    <col min="4" max="4" width="40" style="3" customWidth="1"/>
    <col min="5" max="34" width="7.6640625" style="4" customWidth="1"/>
    <col min="35" max="35" width="9.109375" style="3"/>
    <col min="36" max="36" width="28.6640625" style="3" customWidth="1"/>
    <col min="37" max="16384" width="9.109375" style="3"/>
  </cols>
  <sheetData>
    <row r="1" spans="1:36" x14ac:dyDescent="0.3">
      <c r="A1" s="5"/>
      <c r="B1" s="5"/>
      <c r="C1" s="5"/>
      <c r="D1" s="6" t="s">
        <v>19</v>
      </c>
      <c r="E1" s="5"/>
      <c r="F1" s="5"/>
      <c r="G1" s="5">
        <v>60</v>
      </c>
      <c r="H1" s="5">
        <v>15</v>
      </c>
      <c r="I1" s="5">
        <v>30</v>
      </c>
      <c r="J1" s="5"/>
      <c r="K1" s="5"/>
      <c r="L1" s="5"/>
      <c r="M1" s="5">
        <v>60</v>
      </c>
      <c r="N1" s="5">
        <v>15</v>
      </c>
      <c r="O1" s="5">
        <v>30</v>
      </c>
      <c r="P1" s="5"/>
      <c r="Q1" s="5">
        <v>15</v>
      </c>
      <c r="R1" s="5"/>
      <c r="S1" s="5"/>
      <c r="T1" s="5">
        <v>60</v>
      </c>
      <c r="U1" s="5">
        <v>15</v>
      </c>
      <c r="V1" s="5">
        <v>15</v>
      </c>
      <c r="W1" s="5">
        <v>30</v>
      </c>
      <c r="X1" s="5">
        <v>15</v>
      </c>
      <c r="Y1" s="5"/>
      <c r="Z1" s="5"/>
      <c r="AA1" s="5">
        <v>60</v>
      </c>
      <c r="AB1" s="5">
        <v>15</v>
      </c>
      <c r="AC1" s="5">
        <v>30</v>
      </c>
      <c r="AD1" s="5"/>
      <c r="AE1" s="5">
        <v>15</v>
      </c>
      <c r="AF1" s="5">
        <v>15</v>
      </c>
      <c r="AG1" s="5">
        <v>15</v>
      </c>
      <c r="AH1" s="5">
        <v>30</v>
      </c>
      <c r="AI1" s="5"/>
    </row>
    <row r="2" spans="1:36" x14ac:dyDescent="0.3">
      <c r="A2" s="5"/>
      <c r="B2" s="5"/>
      <c r="C2" s="5"/>
      <c r="D2" s="6" t="s">
        <v>20</v>
      </c>
      <c r="E2" s="5"/>
      <c r="F2" s="5"/>
      <c r="G2" s="5">
        <v>40</v>
      </c>
      <c r="H2" s="5">
        <v>10</v>
      </c>
      <c r="I2" s="5">
        <v>20</v>
      </c>
      <c r="J2" s="5"/>
      <c r="K2" s="5"/>
      <c r="L2" s="5"/>
      <c r="M2" s="5">
        <v>40</v>
      </c>
      <c r="N2" s="5">
        <v>10</v>
      </c>
      <c r="O2" s="5">
        <v>20</v>
      </c>
      <c r="P2" s="5"/>
      <c r="Q2" s="5">
        <v>10</v>
      </c>
      <c r="R2" s="5"/>
      <c r="S2" s="5"/>
      <c r="T2" s="5">
        <v>40</v>
      </c>
      <c r="U2" s="5">
        <v>10</v>
      </c>
      <c r="V2" s="5">
        <v>10</v>
      </c>
      <c r="W2" s="5">
        <v>20</v>
      </c>
      <c r="X2" s="5">
        <v>10</v>
      </c>
      <c r="Y2" s="5"/>
      <c r="Z2" s="5"/>
      <c r="AA2" s="5">
        <v>40</v>
      </c>
      <c r="AB2" s="5">
        <v>10</v>
      </c>
      <c r="AC2" s="5">
        <v>20</v>
      </c>
      <c r="AD2" s="5"/>
      <c r="AE2" s="5">
        <v>10</v>
      </c>
      <c r="AF2" s="5">
        <v>10</v>
      </c>
      <c r="AG2" s="5">
        <v>10</v>
      </c>
      <c r="AH2" s="5">
        <v>20</v>
      </c>
      <c r="AI2" s="5"/>
    </row>
    <row r="3" spans="1:36" x14ac:dyDescent="0.3">
      <c r="A3" s="5"/>
      <c r="B3" s="5"/>
      <c r="C3" s="5"/>
      <c r="D3" s="6" t="s">
        <v>21</v>
      </c>
      <c r="E3" s="5">
        <v>313301</v>
      </c>
      <c r="F3" s="5">
        <v>313301</v>
      </c>
      <c r="G3" s="5">
        <v>313301</v>
      </c>
      <c r="H3" s="5">
        <v>313301</v>
      </c>
      <c r="I3" s="5">
        <v>313301</v>
      </c>
      <c r="J3" s="5">
        <v>313301</v>
      </c>
      <c r="K3" s="5">
        <v>313302</v>
      </c>
      <c r="L3" s="5">
        <v>313302</v>
      </c>
      <c r="M3" s="5">
        <v>313302</v>
      </c>
      <c r="N3" s="5">
        <v>313302</v>
      </c>
      <c r="O3" s="5">
        <v>313302</v>
      </c>
      <c r="P3" s="5">
        <v>313302</v>
      </c>
      <c r="Q3" s="5">
        <v>313302</v>
      </c>
      <c r="R3" s="5">
        <v>313303</v>
      </c>
      <c r="S3" s="5">
        <v>313303</v>
      </c>
      <c r="T3" s="5">
        <v>313303</v>
      </c>
      <c r="U3" s="5">
        <v>313303</v>
      </c>
      <c r="V3" s="5">
        <v>313303</v>
      </c>
      <c r="W3" s="5">
        <v>313303</v>
      </c>
      <c r="X3" s="5">
        <v>313303</v>
      </c>
      <c r="Y3" s="5">
        <v>313304</v>
      </c>
      <c r="Z3" s="5">
        <v>313304</v>
      </c>
      <c r="AA3" s="5">
        <v>313304</v>
      </c>
      <c r="AB3" s="5">
        <v>313304</v>
      </c>
      <c r="AC3" s="5">
        <v>313304</v>
      </c>
      <c r="AD3" s="5">
        <v>313304</v>
      </c>
      <c r="AE3" s="5">
        <v>313304</v>
      </c>
      <c r="AF3" s="5">
        <v>313001</v>
      </c>
      <c r="AG3" s="5">
        <v>313001</v>
      </c>
      <c r="AH3" s="5">
        <v>313002</v>
      </c>
      <c r="AI3" s="5"/>
    </row>
    <row r="4" spans="1:36" x14ac:dyDescent="0.3">
      <c r="A4" s="1"/>
      <c r="B4" s="1"/>
      <c r="C4" s="1"/>
      <c r="D4" s="2" t="s">
        <v>22</v>
      </c>
      <c r="E4" s="9" t="s">
        <v>0</v>
      </c>
      <c r="F4" s="9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2</v>
      </c>
      <c r="S4" s="9" t="s">
        <v>2</v>
      </c>
      <c r="T4" s="9" t="s">
        <v>2</v>
      </c>
      <c r="U4" s="9" t="s">
        <v>2</v>
      </c>
      <c r="V4" s="9" t="s">
        <v>2</v>
      </c>
      <c r="W4" s="9" t="s">
        <v>2</v>
      </c>
      <c r="X4" s="9" t="s">
        <v>2</v>
      </c>
      <c r="Y4" s="9" t="s">
        <v>3</v>
      </c>
      <c r="Z4" s="9" t="s">
        <v>3</v>
      </c>
      <c r="AA4" s="9" t="s">
        <v>3</v>
      </c>
      <c r="AB4" s="9" t="s">
        <v>3</v>
      </c>
      <c r="AC4" s="9" t="s">
        <v>3</v>
      </c>
      <c r="AD4" s="9" t="s">
        <v>3</v>
      </c>
      <c r="AE4" s="9" t="s">
        <v>3</v>
      </c>
      <c r="AF4" s="9" t="s">
        <v>4</v>
      </c>
      <c r="AG4" s="9" t="s">
        <v>4</v>
      </c>
      <c r="AH4" s="9" t="s">
        <v>5</v>
      </c>
      <c r="AI4" s="7"/>
    </row>
    <row r="5" spans="1:36" x14ac:dyDescent="0.3">
      <c r="A5" s="1"/>
      <c r="B5" s="1"/>
      <c r="C5" s="1"/>
      <c r="D5" s="2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26</v>
      </c>
      <c r="K5" s="10" t="s">
        <v>24</v>
      </c>
      <c r="L5" s="10" t="s">
        <v>25</v>
      </c>
      <c r="M5" s="10" t="s">
        <v>26</v>
      </c>
      <c r="N5" s="10" t="s">
        <v>27</v>
      </c>
      <c r="O5" s="10" t="s">
        <v>28</v>
      </c>
      <c r="P5" s="10" t="s">
        <v>26</v>
      </c>
      <c r="Q5" s="10" t="s">
        <v>6</v>
      </c>
      <c r="R5" s="10" t="s">
        <v>24</v>
      </c>
      <c r="S5" s="10" t="s">
        <v>25</v>
      </c>
      <c r="T5" s="10" t="s">
        <v>26</v>
      </c>
      <c r="U5" s="10" t="s">
        <v>27</v>
      </c>
      <c r="V5" s="10" t="s">
        <v>28</v>
      </c>
      <c r="W5" s="10" t="s">
        <v>26</v>
      </c>
      <c r="X5" s="10" t="s">
        <v>6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0" t="s">
        <v>26</v>
      </c>
      <c r="AE5" s="10" t="s">
        <v>6</v>
      </c>
      <c r="AF5" s="10" t="s">
        <v>28</v>
      </c>
      <c r="AG5" s="10" t="s">
        <v>6</v>
      </c>
      <c r="AH5" s="10" t="s">
        <v>6</v>
      </c>
      <c r="AI5" s="7"/>
    </row>
    <row r="6" spans="1:36" ht="46.8" x14ac:dyDescent="0.3">
      <c r="A6" s="1"/>
      <c r="B6" s="11" t="s">
        <v>16</v>
      </c>
      <c r="C6" s="11" t="s">
        <v>17</v>
      </c>
      <c r="D6" s="1" t="s">
        <v>18</v>
      </c>
      <c r="E6" s="9">
        <v>70</v>
      </c>
      <c r="F6" s="9">
        <v>30</v>
      </c>
      <c r="G6" s="9">
        <v>100</v>
      </c>
      <c r="H6" s="9">
        <v>25</v>
      </c>
      <c r="I6" s="9">
        <v>50</v>
      </c>
      <c r="J6" s="9">
        <v>75</v>
      </c>
      <c r="K6" s="9">
        <v>70</v>
      </c>
      <c r="L6" s="9">
        <v>30</v>
      </c>
      <c r="M6" s="9">
        <v>100</v>
      </c>
      <c r="N6" s="9">
        <v>25</v>
      </c>
      <c r="O6" s="9">
        <v>50</v>
      </c>
      <c r="P6" s="9">
        <v>75</v>
      </c>
      <c r="Q6" s="9">
        <v>25</v>
      </c>
      <c r="R6" s="9">
        <v>70</v>
      </c>
      <c r="S6" s="9">
        <v>30</v>
      </c>
      <c r="T6" s="9">
        <v>100</v>
      </c>
      <c r="U6" s="9">
        <v>25</v>
      </c>
      <c r="V6" s="9">
        <v>25</v>
      </c>
      <c r="W6" s="9">
        <v>50</v>
      </c>
      <c r="X6" s="9">
        <v>25</v>
      </c>
      <c r="Y6" s="9">
        <v>70</v>
      </c>
      <c r="Z6" s="9">
        <v>30</v>
      </c>
      <c r="AA6" s="9">
        <v>100</v>
      </c>
      <c r="AB6" s="9">
        <v>25</v>
      </c>
      <c r="AC6" s="9">
        <v>50</v>
      </c>
      <c r="AD6" s="9">
        <v>75</v>
      </c>
      <c r="AE6" s="9">
        <v>25</v>
      </c>
      <c r="AF6" s="9">
        <v>25</v>
      </c>
      <c r="AG6" s="9">
        <v>25</v>
      </c>
      <c r="AH6" s="9">
        <v>50</v>
      </c>
      <c r="AI6" s="9">
        <f>SUM(G6,J6,M6,P6,Q6,T6,W6,AA6,AD6,AE6,AF6,AG6,AH6,X6)</f>
        <v>850</v>
      </c>
      <c r="AJ6" s="3" t="s">
        <v>103</v>
      </c>
    </row>
    <row r="7" spans="1:36" x14ac:dyDescent="0.3">
      <c r="A7" s="66">
        <v>1</v>
      </c>
      <c r="B7" s="67">
        <v>264979</v>
      </c>
      <c r="C7" s="67">
        <v>23410260160</v>
      </c>
      <c r="D7" s="67" t="s">
        <v>234</v>
      </c>
      <c r="E7" s="68" t="s">
        <v>118</v>
      </c>
      <c r="F7" s="68" t="s">
        <v>118</v>
      </c>
      <c r="G7" s="96">
        <f>SUM(E7,F7)</f>
        <v>0</v>
      </c>
      <c r="H7" s="68" t="s">
        <v>118</v>
      </c>
      <c r="I7" s="68" t="s">
        <v>118</v>
      </c>
      <c r="J7" s="98">
        <f>SUM(H7,I7)</f>
        <v>0</v>
      </c>
      <c r="K7" s="68" t="s">
        <v>118</v>
      </c>
      <c r="L7" s="68" t="s">
        <v>118</v>
      </c>
      <c r="M7" s="69">
        <f>SUM(K7,L7)</f>
        <v>0</v>
      </c>
      <c r="N7" s="68" t="s">
        <v>118</v>
      </c>
      <c r="O7" s="68" t="s">
        <v>118</v>
      </c>
      <c r="P7" s="69">
        <f>SUM(N7,O7)</f>
        <v>0</v>
      </c>
      <c r="Q7" s="68" t="s">
        <v>118</v>
      </c>
      <c r="R7" s="69"/>
      <c r="S7" s="69">
        <v>8</v>
      </c>
      <c r="T7" s="69">
        <f>SUM(R7,S7)</f>
        <v>8</v>
      </c>
      <c r="U7" s="69"/>
      <c r="V7" s="69" t="s">
        <v>118</v>
      </c>
      <c r="W7" s="69">
        <f>SUM(U7,V7)</f>
        <v>0</v>
      </c>
      <c r="X7" s="69" t="s">
        <v>118</v>
      </c>
      <c r="Y7" s="69"/>
      <c r="Z7" s="68" t="s">
        <v>118</v>
      </c>
      <c r="AA7" s="68" t="s">
        <v>118</v>
      </c>
      <c r="AB7" s="68" t="s">
        <v>118</v>
      </c>
      <c r="AC7" s="68" t="s">
        <v>118</v>
      </c>
      <c r="AD7" s="68">
        <f>SUM(AB7,AC7)</f>
        <v>0</v>
      </c>
      <c r="AE7" s="69" t="s">
        <v>118</v>
      </c>
      <c r="AF7" s="69"/>
      <c r="AG7" s="69"/>
      <c r="AH7" s="69"/>
      <c r="AI7" s="69">
        <f>SUM(G7,J7,M7,P7,Q7,T7,W7,AA7,AD7,AE7,AF7,AG7,AH7,X7)</f>
        <v>8</v>
      </c>
      <c r="AJ7" s="3" t="s">
        <v>336</v>
      </c>
    </row>
    <row r="8" spans="1:36" x14ac:dyDescent="0.3">
      <c r="A8" s="1">
        <v>2</v>
      </c>
      <c r="B8" s="8">
        <v>264981</v>
      </c>
      <c r="C8" s="8">
        <v>23410260166</v>
      </c>
      <c r="D8" s="8" t="s">
        <v>235</v>
      </c>
      <c r="E8" s="9">
        <v>15</v>
      </c>
      <c r="F8" s="9">
        <v>7</v>
      </c>
      <c r="G8" s="97">
        <f>SUM(E8,F8)</f>
        <v>22</v>
      </c>
      <c r="H8" s="100">
        <v>17</v>
      </c>
      <c r="I8" s="100">
        <v>35</v>
      </c>
      <c r="J8" s="99">
        <f>SUM(H8,I8)</f>
        <v>52</v>
      </c>
      <c r="K8" s="9">
        <v>17</v>
      </c>
      <c r="L8" s="95">
        <v>7</v>
      </c>
      <c r="M8" s="9">
        <f>SUM(K8,L8)</f>
        <v>24</v>
      </c>
      <c r="N8" s="10">
        <v>18</v>
      </c>
      <c r="O8" s="9">
        <v>32</v>
      </c>
      <c r="P8" s="9">
        <f>SUM(N8,O8)</f>
        <v>50</v>
      </c>
      <c r="Q8" s="9">
        <v>17</v>
      </c>
      <c r="R8" s="9">
        <v>9</v>
      </c>
      <c r="S8" s="9">
        <v>7</v>
      </c>
      <c r="T8" s="9">
        <f>SUM(R8,S8)</f>
        <v>16</v>
      </c>
      <c r="U8" s="9">
        <v>18</v>
      </c>
      <c r="V8" s="9">
        <v>20</v>
      </c>
      <c r="W8" s="9">
        <f>SUM(U8,V8)</f>
        <v>38</v>
      </c>
      <c r="X8" s="9">
        <v>19</v>
      </c>
      <c r="Y8" s="9">
        <v>10</v>
      </c>
      <c r="Z8" s="26">
        <v>2</v>
      </c>
      <c r="AA8" s="26">
        <f>SUM(Y8,Z8)</f>
        <v>12</v>
      </c>
      <c r="AB8" s="26">
        <v>18</v>
      </c>
      <c r="AC8" s="26">
        <v>30</v>
      </c>
      <c r="AD8" s="26">
        <f>SUM(AB8,AC8)</f>
        <v>48</v>
      </c>
      <c r="AE8" s="9">
        <v>18</v>
      </c>
      <c r="AF8" s="9">
        <v>20</v>
      </c>
      <c r="AG8" s="9">
        <v>20</v>
      </c>
      <c r="AH8" s="9">
        <v>32</v>
      </c>
      <c r="AI8" s="12">
        <f>SUM(G8,J8,M8,P8,Q8,T8,W8,AA8,AD8,AE8,AF8,AG8,AH8,X8)</f>
        <v>388</v>
      </c>
      <c r="AJ8" s="3" t="s">
        <v>325</v>
      </c>
    </row>
    <row r="9" spans="1:36" x14ac:dyDescent="0.3">
      <c r="A9" s="1">
        <v>3</v>
      </c>
      <c r="B9" s="8">
        <v>264984</v>
      </c>
      <c r="C9" s="8">
        <v>24410260057</v>
      </c>
      <c r="D9" s="8" t="s">
        <v>236</v>
      </c>
      <c r="E9" s="9">
        <v>45</v>
      </c>
      <c r="F9" s="9">
        <v>17</v>
      </c>
      <c r="G9" s="97">
        <f>SUM(E9,F9)</f>
        <v>62</v>
      </c>
      <c r="H9" s="100">
        <v>20</v>
      </c>
      <c r="I9" s="100">
        <v>40</v>
      </c>
      <c r="J9" s="99">
        <f>SUM(H9,I9)</f>
        <v>60</v>
      </c>
      <c r="K9" s="9">
        <v>17</v>
      </c>
      <c r="L9" s="95">
        <v>10</v>
      </c>
      <c r="M9" s="9">
        <f>SUM(K9,L9)</f>
        <v>27</v>
      </c>
      <c r="N9" s="10">
        <v>20</v>
      </c>
      <c r="O9" s="9">
        <v>39</v>
      </c>
      <c r="P9" s="9">
        <f>SUM(N9,O9)</f>
        <v>59</v>
      </c>
      <c r="Q9" s="9">
        <v>19</v>
      </c>
      <c r="R9" s="9">
        <v>12</v>
      </c>
      <c r="S9" s="9">
        <v>10</v>
      </c>
      <c r="T9" s="9">
        <f>SUM(R9,S9)</f>
        <v>22</v>
      </c>
      <c r="U9" s="9">
        <v>18</v>
      </c>
      <c r="V9" s="9">
        <v>20</v>
      </c>
      <c r="W9" s="9">
        <f>SUM(U9,V9)</f>
        <v>38</v>
      </c>
      <c r="X9" s="9">
        <v>20</v>
      </c>
      <c r="Y9" s="9">
        <v>6</v>
      </c>
      <c r="Z9" s="26">
        <v>10</v>
      </c>
      <c r="AA9" s="26">
        <f>SUM(Y9,Z9)</f>
        <v>16</v>
      </c>
      <c r="AB9" s="26">
        <v>20</v>
      </c>
      <c r="AC9" s="26">
        <v>40</v>
      </c>
      <c r="AD9" s="26">
        <f>SUM(AB9,AC9)</f>
        <v>60</v>
      </c>
      <c r="AE9" s="9">
        <v>20</v>
      </c>
      <c r="AF9" s="9">
        <v>21</v>
      </c>
      <c r="AG9" s="9">
        <v>22</v>
      </c>
      <c r="AH9" s="9">
        <v>35</v>
      </c>
      <c r="AI9" s="12">
        <f>SUM(G9,J9,M9,P9,Q9,T9,W9,AA9,AD9,AE9,AF9,AG9,AH9,X9)</f>
        <v>481</v>
      </c>
      <c r="AJ9" s="3" t="s">
        <v>325</v>
      </c>
    </row>
    <row r="10" spans="1:36" x14ac:dyDescent="0.3">
      <c r="A10" s="1">
        <v>4</v>
      </c>
      <c r="B10" s="1">
        <v>264985</v>
      </c>
      <c r="C10" s="1">
        <v>24410260111</v>
      </c>
      <c r="D10" s="1" t="s">
        <v>175</v>
      </c>
      <c r="E10" s="9">
        <v>61</v>
      </c>
      <c r="F10" s="9">
        <v>24</v>
      </c>
      <c r="G10" s="97">
        <f>SUM(E10,F10)</f>
        <v>85</v>
      </c>
      <c r="H10" s="100">
        <v>23</v>
      </c>
      <c r="I10" s="100">
        <v>47</v>
      </c>
      <c r="J10" s="99">
        <f>SUM(H10,I10)</f>
        <v>70</v>
      </c>
      <c r="K10" s="9">
        <v>54</v>
      </c>
      <c r="L10" s="95">
        <v>24</v>
      </c>
      <c r="M10" s="9">
        <f>SUM(K10,L10)</f>
        <v>78</v>
      </c>
      <c r="N10" s="10">
        <v>23</v>
      </c>
      <c r="O10" s="9">
        <v>47</v>
      </c>
      <c r="P10" s="9">
        <f>SUM(N10,O10)</f>
        <v>70</v>
      </c>
      <c r="Q10" s="9">
        <v>22</v>
      </c>
      <c r="R10" s="9">
        <v>40</v>
      </c>
      <c r="S10" s="9">
        <v>19</v>
      </c>
      <c r="T10" s="9">
        <f>SUM(R10,S10)</f>
        <v>59</v>
      </c>
      <c r="U10" s="9">
        <v>22</v>
      </c>
      <c r="V10" s="9">
        <v>23</v>
      </c>
      <c r="W10" s="9">
        <f>SUM(U10,V10)</f>
        <v>45</v>
      </c>
      <c r="X10" s="9">
        <v>22</v>
      </c>
      <c r="Y10" s="9">
        <v>60</v>
      </c>
      <c r="Z10" s="26">
        <v>18</v>
      </c>
      <c r="AA10" s="26">
        <f>SUM(Y10,Z10)</f>
        <v>78</v>
      </c>
      <c r="AB10" s="26">
        <v>21</v>
      </c>
      <c r="AC10" s="26">
        <v>44</v>
      </c>
      <c r="AD10" s="26">
        <f>SUM(AB10,AC10)</f>
        <v>65</v>
      </c>
      <c r="AE10" s="9">
        <v>22</v>
      </c>
      <c r="AF10" s="9">
        <v>22</v>
      </c>
      <c r="AG10" s="9">
        <v>22</v>
      </c>
      <c r="AH10" s="9">
        <v>44</v>
      </c>
      <c r="AI10" s="12">
        <f t="shared" ref="AI10:AI71" si="0">SUM(G10,J10,M10,P10,Q10,T10,W10,AA10,AD10,AE10,AF10,AG10,AH10,X10)</f>
        <v>704</v>
      </c>
      <c r="AJ10" s="3" t="s">
        <v>326</v>
      </c>
    </row>
    <row r="11" spans="1:36" x14ac:dyDescent="0.3">
      <c r="A11" s="1">
        <v>5</v>
      </c>
      <c r="B11" s="8">
        <v>264986</v>
      </c>
      <c r="C11" s="8">
        <v>24410260112</v>
      </c>
      <c r="D11" s="8" t="s">
        <v>176</v>
      </c>
      <c r="E11" s="9">
        <v>48</v>
      </c>
      <c r="F11" s="9">
        <v>10</v>
      </c>
      <c r="G11" s="97">
        <f t="shared" ref="G11:G72" si="1">SUM(E11,F11)</f>
        <v>58</v>
      </c>
      <c r="H11" s="100">
        <v>19</v>
      </c>
      <c r="I11" s="100">
        <v>38</v>
      </c>
      <c r="J11" s="99">
        <f t="shared" ref="J11:J72" si="2">SUM(H11,I11)</f>
        <v>57</v>
      </c>
      <c r="K11" s="9">
        <v>32</v>
      </c>
      <c r="L11" s="95">
        <v>5</v>
      </c>
      <c r="M11" s="9">
        <f t="shared" ref="M11:M72" si="3">SUM(K11,L11)</f>
        <v>37</v>
      </c>
      <c r="N11" s="10">
        <v>20</v>
      </c>
      <c r="O11" s="9">
        <v>36</v>
      </c>
      <c r="P11" s="9">
        <f t="shared" ref="P11:P72" si="4">SUM(N11,O11)</f>
        <v>56</v>
      </c>
      <c r="Q11" s="9">
        <v>20</v>
      </c>
      <c r="R11" s="9">
        <v>19</v>
      </c>
      <c r="S11" s="9">
        <v>9</v>
      </c>
      <c r="T11" s="9">
        <f t="shared" ref="T11:T72" si="5">SUM(R11,S11)</f>
        <v>28</v>
      </c>
      <c r="U11" s="9">
        <v>18</v>
      </c>
      <c r="V11" s="9">
        <v>20</v>
      </c>
      <c r="W11" s="9">
        <f t="shared" ref="W11:W72" si="6">SUM(U11,V11)</f>
        <v>38</v>
      </c>
      <c r="X11" s="9">
        <v>18</v>
      </c>
      <c r="Y11" s="9">
        <v>22</v>
      </c>
      <c r="Z11" s="26">
        <v>14</v>
      </c>
      <c r="AA11" s="26">
        <f t="shared" ref="AA11:AA72" si="7">SUM(Y11,Z11)</f>
        <v>36</v>
      </c>
      <c r="AB11" s="26">
        <v>20</v>
      </c>
      <c r="AC11" s="26">
        <v>38</v>
      </c>
      <c r="AD11" s="26">
        <f t="shared" ref="AD11:AD72" si="8">SUM(AB11,AC11)</f>
        <v>58</v>
      </c>
      <c r="AE11" s="9">
        <v>20</v>
      </c>
      <c r="AF11" s="9">
        <v>20</v>
      </c>
      <c r="AG11" s="9">
        <v>21</v>
      </c>
      <c r="AH11" s="9">
        <v>32</v>
      </c>
      <c r="AI11" s="12">
        <f t="shared" si="0"/>
        <v>499</v>
      </c>
      <c r="AJ11" s="3" t="s">
        <v>325</v>
      </c>
    </row>
    <row r="12" spans="1:36" x14ac:dyDescent="0.3">
      <c r="A12" s="1">
        <v>6</v>
      </c>
      <c r="B12" s="8">
        <v>264987</v>
      </c>
      <c r="C12" s="8">
        <v>24410260113</v>
      </c>
      <c r="D12" s="8" t="s">
        <v>177</v>
      </c>
      <c r="E12" s="9">
        <v>60</v>
      </c>
      <c r="F12" s="9">
        <v>19</v>
      </c>
      <c r="G12" s="97">
        <f t="shared" si="1"/>
        <v>79</v>
      </c>
      <c r="H12" s="100">
        <v>21</v>
      </c>
      <c r="I12" s="100">
        <v>42</v>
      </c>
      <c r="J12" s="99">
        <f t="shared" si="2"/>
        <v>63</v>
      </c>
      <c r="K12" s="9">
        <v>33</v>
      </c>
      <c r="L12" s="95">
        <v>13</v>
      </c>
      <c r="M12" s="9">
        <f t="shared" si="3"/>
        <v>46</v>
      </c>
      <c r="N12" s="10">
        <v>22</v>
      </c>
      <c r="O12" s="9">
        <v>43</v>
      </c>
      <c r="P12" s="9">
        <f t="shared" si="4"/>
        <v>65</v>
      </c>
      <c r="Q12" s="9">
        <v>22</v>
      </c>
      <c r="R12" s="9">
        <v>25</v>
      </c>
      <c r="S12" s="9">
        <v>11</v>
      </c>
      <c r="T12" s="9">
        <f t="shared" si="5"/>
        <v>36</v>
      </c>
      <c r="U12" s="9">
        <v>21</v>
      </c>
      <c r="V12" s="9">
        <v>18</v>
      </c>
      <c r="W12" s="9">
        <f t="shared" si="6"/>
        <v>39</v>
      </c>
      <c r="X12" s="9">
        <v>19</v>
      </c>
      <c r="Y12" s="9">
        <v>34</v>
      </c>
      <c r="Z12" s="26">
        <v>13</v>
      </c>
      <c r="AA12" s="26">
        <f t="shared" si="7"/>
        <v>47</v>
      </c>
      <c r="AB12" s="26">
        <v>20</v>
      </c>
      <c r="AC12" s="26">
        <v>42</v>
      </c>
      <c r="AD12" s="26">
        <f t="shared" si="8"/>
        <v>62</v>
      </c>
      <c r="AE12" s="9">
        <v>22</v>
      </c>
      <c r="AF12" s="9">
        <v>22</v>
      </c>
      <c r="AG12" s="9">
        <v>22</v>
      </c>
      <c r="AH12" s="9">
        <v>40</v>
      </c>
      <c r="AI12" s="12">
        <f t="shared" si="0"/>
        <v>584</v>
      </c>
      <c r="AJ12" s="3" t="s">
        <v>334</v>
      </c>
    </row>
    <row r="13" spans="1:36" x14ac:dyDescent="0.3">
      <c r="A13" s="1">
        <v>7</v>
      </c>
      <c r="B13" s="8">
        <v>264988</v>
      </c>
      <c r="C13" s="8">
        <v>24410260115</v>
      </c>
      <c r="D13" s="8" t="s">
        <v>178</v>
      </c>
      <c r="E13" s="9">
        <v>38</v>
      </c>
      <c r="F13" s="9">
        <v>15</v>
      </c>
      <c r="G13" s="97">
        <f t="shared" si="1"/>
        <v>53</v>
      </c>
      <c r="H13" s="100">
        <v>21</v>
      </c>
      <c r="I13" s="100">
        <v>42</v>
      </c>
      <c r="J13" s="99">
        <f t="shared" si="2"/>
        <v>63</v>
      </c>
      <c r="K13" s="9">
        <v>27</v>
      </c>
      <c r="L13" s="95">
        <v>18</v>
      </c>
      <c r="M13" s="9">
        <f t="shared" si="3"/>
        <v>45</v>
      </c>
      <c r="N13" s="10">
        <v>23</v>
      </c>
      <c r="O13" s="9">
        <v>45</v>
      </c>
      <c r="P13" s="9">
        <f t="shared" si="4"/>
        <v>68</v>
      </c>
      <c r="Q13" s="9">
        <v>22</v>
      </c>
      <c r="R13" s="9">
        <v>26</v>
      </c>
      <c r="S13" s="9">
        <v>15</v>
      </c>
      <c r="T13" s="9">
        <f t="shared" si="5"/>
        <v>41</v>
      </c>
      <c r="U13" s="9">
        <v>20</v>
      </c>
      <c r="V13" s="9">
        <v>20</v>
      </c>
      <c r="W13" s="9">
        <f t="shared" si="6"/>
        <v>40</v>
      </c>
      <c r="X13" s="9">
        <v>23</v>
      </c>
      <c r="Y13" s="9">
        <v>29</v>
      </c>
      <c r="Z13" s="26">
        <v>6</v>
      </c>
      <c r="AA13" s="26">
        <f t="shared" si="7"/>
        <v>35</v>
      </c>
      <c r="AB13" s="26">
        <v>22</v>
      </c>
      <c r="AC13" s="26">
        <v>45</v>
      </c>
      <c r="AD13" s="26">
        <f t="shared" si="8"/>
        <v>67</v>
      </c>
      <c r="AE13" s="9">
        <v>22</v>
      </c>
      <c r="AF13" s="9">
        <v>22</v>
      </c>
      <c r="AG13" s="9">
        <v>22</v>
      </c>
      <c r="AH13" s="9">
        <v>43</v>
      </c>
      <c r="AI13" s="12">
        <f t="shared" si="0"/>
        <v>566</v>
      </c>
      <c r="AJ13" s="3" t="s">
        <v>334</v>
      </c>
    </row>
    <row r="14" spans="1:36" x14ac:dyDescent="0.3">
      <c r="A14" s="1">
        <v>8</v>
      </c>
      <c r="B14" s="8">
        <v>264989</v>
      </c>
      <c r="C14" s="8">
        <v>24410260116</v>
      </c>
      <c r="D14" s="8" t="s">
        <v>179</v>
      </c>
      <c r="E14" s="9">
        <v>62</v>
      </c>
      <c r="F14" s="9">
        <v>28</v>
      </c>
      <c r="G14" s="97">
        <f t="shared" si="1"/>
        <v>90</v>
      </c>
      <c r="H14" s="101">
        <v>24</v>
      </c>
      <c r="I14" s="101">
        <v>49</v>
      </c>
      <c r="J14" s="99">
        <f t="shared" si="2"/>
        <v>73</v>
      </c>
      <c r="K14" s="9">
        <v>49</v>
      </c>
      <c r="L14" s="95">
        <v>30</v>
      </c>
      <c r="M14" s="9">
        <f t="shared" si="3"/>
        <v>79</v>
      </c>
      <c r="N14" s="10">
        <v>23</v>
      </c>
      <c r="O14" s="9">
        <v>49</v>
      </c>
      <c r="P14" s="9">
        <f t="shared" si="4"/>
        <v>72</v>
      </c>
      <c r="Q14" s="9">
        <v>23</v>
      </c>
      <c r="R14" s="9">
        <v>52</v>
      </c>
      <c r="S14" s="9">
        <v>28</v>
      </c>
      <c r="T14" s="9">
        <f t="shared" si="5"/>
        <v>80</v>
      </c>
      <c r="U14" s="9">
        <v>24</v>
      </c>
      <c r="V14" s="9">
        <v>24</v>
      </c>
      <c r="W14" s="9">
        <f t="shared" si="6"/>
        <v>48</v>
      </c>
      <c r="X14" s="9">
        <v>24</v>
      </c>
      <c r="Y14" s="9">
        <v>58</v>
      </c>
      <c r="Z14" s="26">
        <v>29</v>
      </c>
      <c r="AA14" s="26">
        <f t="shared" si="7"/>
        <v>87</v>
      </c>
      <c r="AB14" s="26">
        <v>24</v>
      </c>
      <c r="AC14" s="26">
        <v>48</v>
      </c>
      <c r="AD14" s="26">
        <f t="shared" si="8"/>
        <v>72</v>
      </c>
      <c r="AE14" s="9">
        <v>24</v>
      </c>
      <c r="AF14" s="9">
        <v>23</v>
      </c>
      <c r="AG14" s="9">
        <v>23</v>
      </c>
      <c r="AH14" s="9">
        <v>46</v>
      </c>
      <c r="AI14" s="12">
        <f t="shared" si="0"/>
        <v>764</v>
      </c>
      <c r="AJ14" s="3" t="s">
        <v>326</v>
      </c>
    </row>
    <row r="15" spans="1:36" x14ac:dyDescent="0.3">
      <c r="A15" s="1">
        <v>9</v>
      </c>
      <c r="B15" s="8">
        <v>264990</v>
      </c>
      <c r="C15" s="8">
        <v>24410260117</v>
      </c>
      <c r="D15" s="8" t="s">
        <v>180</v>
      </c>
      <c r="E15" s="9">
        <v>61</v>
      </c>
      <c r="F15" s="9">
        <v>22</v>
      </c>
      <c r="G15" s="97">
        <f t="shared" si="1"/>
        <v>83</v>
      </c>
      <c r="H15" s="100">
        <v>22</v>
      </c>
      <c r="I15" s="100">
        <v>43</v>
      </c>
      <c r="J15" s="99">
        <f t="shared" si="2"/>
        <v>65</v>
      </c>
      <c r="K15" s="9">
        <v>41</v>
      </c>
      <c r="L15" s="95">
        <v>21</v>
      </c>
      <c r="M15" s="9">
        <f t="shared" si="3"/>
        <v>62</v>
      </c>
      <c r="N15" s="10">
        <v>22</v>
      </c>
      <c r="O15" s="9">
        <v>45</v>
      </c>
      <c r="P15" s="9">
        <f t="shared" si="4"/>
        <v>67</v>
      </c>
      <c r="Q15" s="9">
        <v>22</v>
      </c>
      <c r="R15" s="9">
        <v>20</v>
      </c>
      <c r="S15" s="9">
        <v>13</v>
      </c>
      <c r="T15" s="9">
        <f t="shared" si="5"/>
        <v>33</v>
      </c>
      <c r="U15" s="9">
        <v>20</v>
      </c>
      <c r="V15" s="9">
        <v>23</v>
      </c>
      <c r="W15" s="9">
        <f t="shared" si="6"/>
        <v>43</v>
      </c>
      <c r="X15" s="9">
        <v>23</v>
      </c>
      <c r="Y15" s="9">
        <v>51</v>
      </c>
      <c r="Z15" s="26">
        <v>21</v>
      </c>
      <c r="AA15" s="26">
        <f t="shared" si="7"/>
        <v>72</v>
      </c>
      <c r="AB15" s="26">
        <v>21</v>
      </c>
      <c r="AC15" s="26">
        <v>36</v>
      </c>
      <c r="AD15" s="26">
        <f t="shared" si="8"/>
        <v>57</v>
      </c>
      <c r="AE15" s="9">
        <v>22</v>
      </c>
      <c r="AF15" s="9">
        <v>22</v>
      </c>
      <c r="AG15" s="9">
        <v>22</v>
      </c>
      <c r="AH15" s="9">
        <v>42</v>
      </c>
      <c r="AI15" s="12">
        <f>SUM(G15,J15,M15,P15,Q15,T15,W15,AA15,AD15,AE15,AF15,AG15,AH15,X15)+2</f>
        <v>637</v>
      </c>
      <c r="AJ15" s="3" t="s">
        <v>335</v>
      </c>
    </row>
    <row r="16" spans="1:36" x14ac:dyDescent="0.3">
      <c r="A16" s="1">
        <v>10</v>
      </c>
      <c r="B16" s="8">
        <v>264991</v>
      </c>
      <c r="C16" s="8">
        <v>24410260120</v>
      </c>
      <c r="D16" s="8" t="s">
        <v>181</v>
      </c>
      <c r="E16" s="9">
        <v>59</v>
      </c>
      <c r="F16" s="9">
        <v>27</v>
      </c>
      <c r="G16" s="97">
        <f t="shared" si="1"/>
        <v>86</v>
      </c>
      <c r="H16" s="100">
        <v>23</v>
      </c>
      <c r="I16" s="100">
        <v>47</v>
      </c>
      <c r="J16" s="99">
        <f t="shared" si="2"/>
        <v>70</v>
      </c>
      <c r="K16" s="9">
        <v>61</v>
      </c>
      <c r="L16" s="95">
        <v>25</v>
      </c>
      <c r="M16" s="9">
        <f t="shared" si="3"/>
        <v>86</v>
      </c>
      <c r="N16" s="10">
        <v>23</v>
      </c>
      <c r="O16" s="9">
        <v>47</v>
      </c>
      <c r="P16" s="9">
        <f t="shared" si="4"/>
        <v>70</v>
      </c>
      <c r="Q16" s="9">
        <v>22</v>
      </c>
      <c r="R16" s="9">
        <v>67</v>
      </c>
      <c r="S16" s="9">
        <v>22</v>
      </c>
      <c r="T16" s="9">
        <f t="shared" si="5"/>
        <v>89</v>
      </c>
      <c r="U16" s="9">
        <v>22</v>
      </c>
      <c r="V16" s="9">
        <v>23</v>
      </c>
      <c r="W16" s="9">
        <f t="shared" si="6"/>
        <v>45</v>
      </c>
      <c r="X16" s="9">
        <v>23</v>
      </c>
      <c r="Y16" s="9">
        <v>62</v>
      </c>
      <c r="Z16" s="26">
        <v>28</v>
      </c>
      <c r="AA16" s="26">
        <f t="shared" si="7"/>
        <v>90</v>
      </c>
      <c r="AB16" s="26">
        <v>22</v>
      </c>
      <c r="AC16" s="26">
        <v>47</v>
      </c>
      <c r="AD16" s="26">
        <f t="shared" si="8"/>
        <v>69</v>
      </c>
      <c r="AE16" s="9">
        <v>23</v>
      </c>
      <c r="AF16" s="9">
        <v>22</v>
      </c>
      <c r="AG16" s="9">
        <v>22</v>
      </c>
      <c r="AH16" s="9">
        <v>42</v>
      </c>
      <c r="AI16" s="12">
        <f t="shared" si="0"/>
        <v>759</v>
      </c>
      <c r="AJ16" s="3" t="s">
        <v>326</v>
      </c>
    </row>
    <row r="17" spans="1:36" x14ac:dyDescent="0.3">
      <c r="A17" s="1">
        <v>11</v>
      </c>
      <c r="B17" s="8">
        <v>264992</v>
      </c>
      <c r="C17" s="8">
        <v>24410260121</v>
      </c>
      <c r="D17" s="8" t="s">
        <v>182</v>
      </c>
      <c r="E17" s="9">
        <v>49</v>
      </c>
      <c r="F17" s="9">
        <v>21</v>
      </c>
      <c r="G17" s="97">
        <f t="shared" si="1"/>
        <v>70</v>
      </c>
      <c r="H17" s="100">
        <v>19</v>
      </c>
      <c r="I17" s="100">
        <v>38</v>
      </c>
      <c r="J17" s="99">
        <f t="shared" si="2"/>
        <v>57</v>
      </c>
      <c r="K17" s="9">
        <v>33</v>
      </c>
      <c r="L17" s="95">
        <v>12</v>
      </c>
      <c r="M17" s="9">
        <f t="shared" si="3"/>
        <v>45</v>
      </c>
      <c r="N17" s="10">
        <v>20</v>
      </c>
      <c r="O17" s="9">
        <v>32</v>
      </c>
      <c r="P17" s="9">
        <f t="shared" si="4"/>
        <v>52</v>
      </c>
      <c r="Q17" s="9">
        <v>21</v>
      </c>
      <c r="R17" s="9">
        <v>35</v>
      </c>
      <c r="S17" s="9">
        <v>13</v>
      </c>
      <c r="T17" s="9">
        <f t="shared" si="5"/>
        <v>48</v>
      </c>
      <c r="U17" s="9">
        <v>21</v>
      </c>
      <c r="V17" s="9">
        <v>21</v>
      </c>
      <c r="W17" s="9">
        <f t="shared" si="6"/>
        <v>42</v>
      </c>
      <c r="X17" s="9">
        <v>19</v>
      </c>
      <c r="Y17" s="9">
        <v>45</v>
      </c>
      <c r="Z17" s="26">
        <v>11</v>
      </c>
      <c r="AA17" s="26">
        <f t="shared" si="7"/>
        <v>56</v>
      </c>
      <c r="AB17" s="26">
        <v>20</v>
      </c>
      <c r="AC17" s="26">
        <v>36</v>
      </c>
      <c r="AD17" s="26">
        <f t="shared" si="8"/>
        <v>56</v>
      </c>
      <c r="AE17" s="9">
        <v>20</v>
      </c>
      <c r="AF17" s="9">
        <v>22</v>
      </c>
      <c r="AG17" s="9">
        <v>22</v>
      </c>
      <c r="AH17" s="9">
        <v>40</v>
      </c>
      <c r="AI17" s="12">
        <f>SUM(G17,J17,M17,P17,Q17,T17,W17,AA17,AD17,AE17,AF17,AG17,AH17,X17)</f>
        <v>570</v>
      </c>
      <c r="AJ17" s="3" t="s">
        <v>332</v>
      </c>
    </row>
    <row r="18" spans="1:36" x14ac:dyDescent="0.3">
      <c r="A18" s="1">
        <v>12</v>
      </c>
      <c r="B18" s="8">
        <v>264993</v>
      </c>
      <c r="C18" s="8">
        <v>24410260122</v>
      </c>
      <c r="D18" s="8" t="s">
        <v>183</v>
      </c>
      <c r="E18" s="9">
        <v>61</v>
      </c>
      <c r="F18" s="9">
        <v>23</v>
      </c>
      <c r="G18" s="97">
        <f t="shared" si="1"/>
        <v>84</v>
      </c>
      <c r="H18" s="100">
        <v>20</v>
      </c>
      <c r="I18" s="100">
        <v>40</v>
      </c>
      <c r="J18" s="99">
        <f t="shared" si="2"/>
        <v>60</v>
      </c>
      <c r="K18" s="9">
        <v>33</v>
      </c>
      <c r="L18" s="95">
        <v>16</v>
      </c>
      <c r="M18" s="9">
        <f t="shared" si="3"/>
        <v>49</v>
      </c>
      <c r="N18" s="10">
        <v>21</v>
      </c>
      <c r="O18" s="9">
        <v>38</v>
      </c>
      <c r="P18" s="9">
        <f t="shared" si="4"/>
        <v>59</v>
      </c>
      <c r="Q18" s="9">
        <v>21</v>
      </c>
      <c r="R18" s="9">
        <v>49</v>
      </c>
      <c r="S18" s="9">
        <v>24</v>
      </c>
      <c r="T18" s="9">
        <f t="shared" si="5"/>
        <v>73</v>
      </c>
      <c r="U18" s="9">
        <v>21</v>
      </c>
      <c r="V18" s="9">
        <v>22</v>
      </c>
      <c r="W18" s="9">
        <f t="shared" si="6"/>
        <v>43</v>
      </c>
      <c r="X18" s="9">
        <v>21</v>
      </c>
      <c r="Y18" s="9">
        <v>52</v>
      </c>
      <c r="Z18" s="26">
        <v>23</v>
      </c>
      <c r="AA18" s="26">
        <f t="shared" si="7"/>
        <v>75</v>
      </c>
      <c r="AB18" s="26">
        <v>22</v>
      </c>
      <c r="AC18" s="26">
        <v>40</v>
      </c>
      <c r="AD18" s="26">
        <f t="shared" si="8"/>
        <v>62</v>
      </c>
      <c r="AE18" s="9">
        <v>21</v>
      </c>
      <c r="AF18" s="9">
        <v>22</v>
      </c>
      <c r="AG18" s="9">
        <v>22</v>
      </c>
      <c r="AH18" s="9">
        <v>43</v>
      </c>
      <c r="AI18" s="12">
        <f t="shared" si="0"/>
        <v>655</v>
      </c>
      <c r="AJ18" s="3" t="s">
        <v>326</v>
      </c>
    </row>
    <row r="19" spans="1:36" x14ac:dyDescent="0.3">
      <c r="A19" s="1">
        <v>13</v>
      </c>
      <c r="B19" s="8">
        <v>264994</v>
      </c>
      <c r="C19" s="8">
        <v>24410260123</v>
      </c>
      <c r="D19" s="8" t="s">
        <v>184</v>
      </c>
      <c r="E19" s="9">
        <v>49</v>
      </c>
      <c r="F19" s="9">
        <v>3</v>
      </c>
      <c r="G19" s="97">
        <f t="shared" si="1"/>
        <v>52</v>
      </c>
      <c r="H19" s="100">
        <v>19</v>
      </c>
      <c r="I19" s="100">
        <v>38</v>
      </c>
      <c r="J19" s="99">
        <f t="shared" si="2"/>
        <v>57</v>
      </c>
      <c r="K19" s="9">
        <v>17</v>
      </c>
      <c r="L19" s="95">
        <v>8</v>
      </c>
      <c r="M19" s="9">
        <f t="shared" si="3"/>
        <v>25</v>
      </c>
      <c r="N19" s="10">
        <v>21</v>
      </c>
      <c r="O19" s="9">
        <v>38</v>
      </c>
      <c r="P19" s="9">
        <f t="shared" si="4"/>
        <v>59</v>
      </c>
      <c r="Q19" s="9">
        <v>20</v>
      </c>
      <c r="R19" s="9">
        <v>25</v>
      </c>
      <c r="S19" s="9">
        <v>12</v>
      </c>
      <c r="T19" s="9">
        <f t="shared" si="5"/>
        <v>37</v>
      </c>
      <c r="U19" s="9">
        <v>21</v>
      </c>
      <c r="V19" s="9">
        <v>23</v>
      </c>
      <c r="W19" s="9">
        <f t="shared" si="6"/>
        <v>44</v>
      </c>
      <c r="X19" s="9">
        <v>22</v>
      </c>
      <c r="Y19" s="9">
        <v>32</v>
      </c>
      <c r="Z19" s="26">
        <v>2</v>
      </c>
      <c r="AA19" s="26">
        <f t="shared" si="7"/>
        <v>34</v>
      </c>
      <c r="AB19" s="26">
        <v>20</v>
      </c>
      <c r="AC19" s="26">
        <v>40</v>
      </c>
      <c r="AD19" s="26">
        <f t="shared" si="8"/>
        <v>60</v>
      </c>
      <c r="AE19" s="9">
        <v>21</v>
      </c>
      <c r="AF19" s="9">
        <v>20</v>
      </c>
      <c r="AG19" s="9">
        <v>21</v>
      </c>
      <c r="AH19" s="9">
        <v>32</v>
      </c>
      <c r="AI19" s="12">
        <f t="shared" si="0"/>
        <v>504</v>
      </c>
      <c r="AJ19" s="3" t="s">
        <v>325</v>
      </c>
    </row>
    <row r="20" spans="1:36" x14ac:dyDescent="0.3">
      <c r="A20" s="1">
        <v>14</v>
      </c>
      <c r="B20" s="8">
        <v>264995</v>
      </c>
      <c r="C20" s="8">
        <v>24410260124</v>
      </c>
      <c r="D20" s="8" t="s">
        <v>185</v>
      </c>
      <c r="E20" s="9">
        <v>62</v>
      </c>
      <c r="F20" s="9">
        <v>25</v>
      </c>
      <c r="G20" s="97">
        <f t="shared" si="1"/>
        <v>87</v>
      </c>
      <c r="H20" s="101">
        <v>24</v>
      </c>
      <c r="I20" s="101">
        <v>49</v>
      </c>
      <c r="J20" s="99">
        <f t="shared" si="2"/>
        <v>73</v>
      </c>
      <c r="K20" s="9">
        <v>42</v>
      </c>
      <c r="L20" s="95">
        <v>20</v>
      </c>
      <c r="M20" s="9">
        <f t="shared" si="3"/>
        <v>62</v>
      </c>
      <c r="N20" s="10">
        <v>23</v>
      </c>
      <c r="O20" s="9">
        <v>46</v>
      </c>
      <c r="P20" s="9">
        <f t="shared" si="4"/>
        <v>69</v>
      </c>
      <c r="Q20" s="9">
        <v>22</v>
      </c>
      <c r="R20" s="9">
        <v>43</v>
      </c>
      <c r="S20" s="9">
        <v>22</v>
      </c>
      <c r="T20" s="9">
        <f t="shared" si="5"/>
        <v>65</v>
      </c>
      <c r="U20" s="9">
        <v>24</v>
      </c>
      <c r="V20" s="9">
        <v>24</v>
      </c>
      <c r="W20" s="9">
        <f t="shared" si="6"/>
        <v>48</v>
      </c>
      <c r="X20" s="9">
        <v>24</v>
      </c>
      <c r="Y20" s="9">
        <v>59</v>
      </c>
      <c r="Z20" s="26">
        <v>19</v>
      </c>
      <c r="AA20" s="26">
        <f t="shared" si="7"/>
        <v>78</v>
      </c>
      <c r="AB20" s="26">
        <v>23</v>
      </c>
      <c r="AC20" s="26">
        <v>46</v>
      </c>
      <c r="AD20" s="26">
        <f t="shared" si="8"/>
        <v>69</v>
      </c>
      <c r="AE20" s="9">
        <v>23</v>
      </c>
      <c r="AF20" s="9">
        <v>22</v>
      </c>
      <c r="AG20" s="9">
        <v>22</v>
      </c>
      <c r="AH20" s="9">
        <v>45</v>
      </c>
      <c r="AI20" s="12">
        <f t="shared" si="0"/>
        <v>709</v>
      </c>
      <c r="AJ20" s="3" t="s">
        <v>326</v>
      </c>
    </row>
    <row r="21" spans="1:36" x14ac:dyDescent="0.3">
      <c r="A21" s="1">
        <v>15</v>
      </c>
      <c r="B21" s="8">
        <v>264996</v>
      </c>
      <c r="C21" s="8">
        <v>24410260125</v>
      </c>
      <c r="D21" s="8" t="s">
        <v>186</v>
      </c>
      <c r="E21" s="9">
        <v>55</v>
      </c>
      <c r="F21" s="9">
        <v>14</v>
      </c>
      <c r="G21" s="97">
        <f t="shared" si="1"/>
        <v>69</v>
      </c>
      <c r="H21" s="100">
        <v>19</v>
      </c>
      <c r="I21" s="100">
        <v>38</v>
      </c>
      <c r="J21" s="99">
        <f t="shared" si="2"/>
        <v>57</v>
      </c>
      <c r="K21" s="9">
        <v>45</v>
      </c>
      <c r="L21" s="95">
        <v>12</v>
      </c>
      <c r="M21" s="9">
        <f t="shared" si="3"/>
        <v>57</v>
      </c>
      <c r="N21" s="10">
        <v>21</v>
      </c>
      <c r="O21" s="9">
        <v>40</v>
      </c>
      <c r="P21" s="9">
        <f t="shared" si="4"/>
        <v>61</v>
      </c>
      <c r="Q21" s="9">
        <v>21</v>
      </c>
      <c r="R21" s="9">
        <v>40</v>
      </c>
      <c r="S21" s="9">
        <v>4</v>
      </c>
      <c r="T21" s="9">
        <f t="shared" si="5"/>
        <v>44</v>
      </c>
      <c r="U21" s="9">
        <v>20</v>
      </c>
      <c r="V21" s="9">
        <v>22</v>
      </c>
      <c r="W21" s="9">
        <f t="shared" si="6"/>
        <v>42</v>
      </c>
      <c r="X21" s="9">
        <v>22</v>
      </c>
      <c r="Y21" s="9">
        <v>44</v>
      </c>
      <c r="Z21" s="26">
        <v>7</v>
      </c>
      <c r="AA21" s="26">
        <f t="shared" si="7"/>
        <v>51</v>
      </c>
      <c r="AB21" s="26">
        <v>21</v>
      </c>
      <c r="AC21" s="26">
        <v>41</v>
      </c>
      <c r="AD21" s="26">
        <f t="shared" si="8"/>
        <v>62</v>
      </c>
      <c r="AE21" s="9">
        <v>21</v>
      </c>
      <c r="AF21" s="9">
        <v>20</v>
      </c>
      <c r="AG21" s="9">
        <v>21</v>
      </c>
      <c r="AH21" s="9">
        <v>40</v>
      </c>
      <c r="AI21" s="12">
        <f t="shared" si="0"/>
        <v>588</v>
      </c>
      <c r="AJ21" s="3" t="s">
        <v>332</v>
      </c>
    </row>
    <row r="22" spans="1:36" x14ac:dyDescent="0.3">
      <c r="A22" s="66">
        <v>16</v>
      </c>
      <c r="B22" s="67">
        <v>264997</v>
      </c>
      <c r="C22" s="67">
        <v>24410260126</v>
      </c>
      <c r="D22" s="67" t="s">
        <v>187</v>
      </c>
      <c r="E22" s="68" t="s">
        <v>118</v>
      </c>
      <c r="F22" s="68" t="s">
        <v>118</v>
      </c>
      <c r="G22" s="96">
        <f t="shared" si="1"/>
        <v>0</v>
      </c>
      <c r="H22" s="68" t="s">
        <v>118</v>
      </c>
      <c r="I22" s="68" t="s">
        <v>118</v>
      </c>
      <c r="J22" s="98">
        <f t="shared" si="2"/>
        <v>0</v>
      </c>
      <c r="K22" s="69"/>
      <c r="L22" s="95"/>
      <c r="M22" s="69">
        <f t="shared" si="3"/>
        <v>0</v>
      </c>
      <c r="N22" s="71" t="s">
        <v>118</v>
      </c>
      <c r="O22" s="69"/>
      <c r="P22" s="69">
        <f t="shared" si="4"/>
        <v>0</v>
      </c>
      <c r="Q22" s="69"/>
      <c r="R22" s="69"/>
      <c r="S22" s="69">
        <v>4</v>
      </c>
      <c r="T22" s="69">
        <f t="shared" si="5"/>
        <v>4</v>
      </c>
      <c r="U22" s="69"/>
      <c r="V22" s="69" t="s">
        <v>118</v>
      </c>
      <c r="W22" s="69">
        <f t="shared" si="6"/>
        <v>0</v>
      </c>
      <c r="X22" s="69" t="s">
        <v>118</v>
      </c>
      <c r="Y22" s="69"/>
      <c r="Z22" s="68" t="s">
        <v>118</v>
      </c>
      <c r="AA22" s="68">
        <f t="shared" si="7"/>
        <v>0</v>
      </c>
      <c r="AB22" s="68" t="s">
        <v>118</v>
      </c>
      <c r="AC22" s="68" t="s">
        <v>118</v>
      </c>
      <c r="AD22" s="68">
        <f t="shared" si="8"/>
        <v>0</v>
      </c>
      <c r="AE22" s="69" t="s">
        <v>118</v>
      </c>
      <c r="AF22" s="69"/>
      <c r="AG22" s="69"/>
      <c r="AH22" s="69"/>
      <c r="AI22" s="70">
        <f t="shared" si="0"/>
        <v>4</v>
      </c>
      <c r="AJ22" s="3" t="s">
        <v>118</v>
      </c>
    </row>
    <row r="23" spans="1:36" x14ac:dyDescent="0.3">
      <c r="A23" s="1">
        <v>17</v>
      </c>
      <c r="B23" s="8">
        <v>264998</v>
      </c>
      <c r="C23" s="8">
        <v>24410260127</v>
      </c>
      <c r="D23" s="8" t="s">
        <v>188</v>
      </c>
      <c r="E23" s="9">
        <v>35</v>
      </c>
      <c r="F23" s="9">
        <v>5</v>
      </c>
      <c r="G23" s="97">
        <f t="shared" si="1"/>
        <v>40</v>
      </c>
      <c r="H23" s="100">
        <v>19</v>
      </c>
      <c r="I23" s="100">
        <v>38</v>
      </c>
      <c r="J23" s="99">
        <f t="shared" si="2"/>
        <v>57</v>
      </c>
      <c r="K23" s="9">
        <v>13</v>
      </c>
      <c r="L23" s="95">
        <v>7</v>
      </c>
      <c r="M23" s="9">
        <f t="shared" si="3"/>
        <v>20</v>
      </c>
      <c r="N23" s="10">
        <v>20</v>
      </c>
      <c r="O23" s="9">
        <v>36</v>
      </c>
      <c r="P23" s="9">
        <f t="shared" si="4"/>
        <v>56</v>
      </c>
      <c r="Q23" s="9">
        <v>19</v>
      </c>
      <c r="R23" s="9">
        <v>16</v>
      </c>
      <c r="S23" s="9">
        <v>14</v>
      </c>
      <c r="T23" s="9">
        <f t="shared" si="5"/>
        <v>30</v>
      </c>
      <c r="U23" s="9">
        <v>19</v>
      </c>
      <c r="V23" s="9">
        <v>19</v>
      </c>
      <c r="W23" s="9">
        <f t="shared" si="6"/>
        <v>38</v>
      </c>
      <c r="X23" s="9">
        <v>23</v>
      </c>
      <c r="Y23" s="9">
        <v>0</v>
      </c>
      <c r="Z23" s="26">
        <v>3</v>
      </c>
      <c r="AA23" s="26">
        <f t="shared" si="7"/>
        <v>3</v>
      </c>
      <c r="AB23" s="26">
        <v>20</v>
      </c>
      <c r="AC23" s="26">
        <v>36</v>
      </c>
      <c r="AD23" s="26">
        <f t="shared" si="8"/>
        <v>56</v>
      </c>
      <c r="AE23" s="9">
        <v>20</v>
      </c>
      <c r="AF23" s="9">
        <v>21</v>
      </c>
      <c r="AG23" s="9">
        <v>21</v>
      </c>
      <c r="AH23" s="9">
        <v>35</v>
      </c>
      <c r="AI23" s="12">
        <f t="shared" si="0"/>
        <v>439</v>
      </c>
      <c r="AJ23" s="3" t="s">
        <v>325</v>
      </c>
    </row>
    <row r="24" spans="1:36" x14ac:dyDescent="0.3">
      <c r="A24" s="1">
        <v>18</v>
      </c>
      <c r="B24" s="8">
        <v>264999</v>
      </c>
      <c r="C24" s="8">
        <v>24410260128</v>
      </c>
      <c r="D24" s="8" t="s">
        <v>189</v>
      </c>
      <c r="E24" s="9">
        <v>58</v>
      </c>
      <c r="F24" s="9">
        <v>22</v>
      </c>
      <c r="G24" s="97">
        <f t="shared" si="1"/>
        <v>80</v>
      </c>
      <c r="H24" s="100">
        <v>21</v>
      </c>
      <c r="I24" s="100">
        <v>42</v>
      </c>
      <c r="J24" s="99">
        <f t="shared" si="2"/>
        <v>63</v>
      </c>
      <c r="K24" s="9">
        <v>50</v>
      </c>
      <c r="L24" s="95">
        <v>20</v>
      </c>
      <c r="M24" s="9">
        <f t="shared" si="3"/>
        <v>70</v>
      </c>
      <c r="N24" s="10">
        <v>21</v>
      </c>
      <c r="O24" s="9">
        <v>42</v>
      </c>
      <c r="P24" s="9">
        <f t="shared" si="4"/>
        <v>63</v>
      </c>
      <c r="Q24" s="9">
        <v>21</v>
      </c>
      <c r="R24" s="9">
        <v>35</v>
      </c>
      <c r="S24" s="9">
        <v>17</v>
      </c>
      <c r="T24" s="9">
        <f t="shared" si="5"/>
        <v>52</v>
      </c>
      <c r="U24" s="9">
        <v>21</v>
      </c>
      <c r="V24" s="9">
        <v>23</v>
      </c>
      <c r="W24" s="9">
        <f t="shared" si="6"/>
        <v>44</v>
      </c>
      <c r="X24" s="9">
        <v>22</v>
      </c>
      <c r="Y24" s="9">
        <v>41</v>
      </c>
      <c r="Z24" s="26">
        <v>16</v>
      </c>
      <c r="AA24" s="26">
        <f t="shared" si="7"/>
        <v>57</v>
      </c>
      <c r="AB24" s="26">
        <v>21</v>
      </c>
      <c r="AC24" s="26">
        <v>42</v>
      </c>
      <c r="AD24" s="26">
        <f t="shared" si="8"/>
        <v>63</v>
      </c>
      <c r="AE24" s="9">
        <v>21</v>
      </c>
      <c r="AF24" s="9">
        <v>22</v>
      </c>
      <c r="AG24" s="9">
        <v>22</v>
      </c>
      <c r="AH24" s="9">
        <v>40</v>
      </c>
      <c r="AI24" s="12">
        <f t="shared" si="0"/>
        <v>640</v>
      </c>
      <c r="AJ24" s="3" t="s">
        <v>326</v>
      </c>
    </row>
    <row r="25" spans="1:36" x14ac:dyDescent="0.3">
      <c r="A25" s="1">
        <v>19</v>
      </c>
      <c r="B25" s="8">
        <v>265000</v>
      </c>
      <c r="C25" s="8">
        <v>24410260129</v>
      </c>
      <c r="D25" s="8" t="s">
        <v>190</v>
      </c>
      <c r="E25" s="9">
        <v>58</v>
      </c>
      <c r="F25" s="9">
        <v>26</v>
      </c>
      <c r="G25" s="97">
        <f t="shared" si="1"/>
        <v>84</v>
      </c>
      <c r="H25" s="100">
        <v>23</v>
      </c>
      <c r="I25" s="100">
        <v>46</v>
      </c>
      <c r="J25" s="99">
        <f t="shared" si="2"/>
        <v>69</v>
      </c>
      <c r="K25" s="9">
        <v>45</v>
      </c>
      <c r="L25" s="95">
        <v>23</v>
      </c>
      <c r="M25" s="9">
        <f t="shared" si="3"/>
        <v>68</v>
      </c>
      <c r="N25" s="10">
        <v>23</v>
      </c>
      <c r="O25" s="9">
        <v>46</v>
      </c>
      <c r="P25" s="9">
        <f t="shared" si="4"/>
        <v>69</v>
      </c>
      <c r="Q25" s="9">
        <v>22</v>
      </c>
      <c r="R25" s="9">
        <v>39</v>
      </c>
      <c r="S25" s="9">
        <v>22</v>
      </c>
      <c r="T25" s="9">
        <f t="shared" si="5"/>
        <v>61</v>
      </c>
      <c r="U25" s="9">
        <v>22</v>
      </c>
      <c r="V25" s="9">
        <v>23</v>
      </c>
      <c r="W25" s="9">
        <f t="shared" si="6"/>
        <v>45</v>
      </c>
      <c r="X25" s="9">
        <v>22</v>
      </c>
      <c r="Y25" s="9">
        <v>47</v>
      </c>
      <c r="Z25" s="26">
        <v>23</v>
      </c>
      <c r="AA25" s="26">
        <f t="shared" si="7"/>
        <v>70</v>
      </c>
      <c r="AB25" s="26">
        <v>23</v>
      </c>
      <c r="AC25" s="26">
        <v>46</v>
      </c>
      <c r="AD25" s="26">
        <f t="shared" si="8"/>
        <v>69</v>
      </c>
      <c r="AE25" s="9">
        <v>23</v>
      </c>
      <c r="AF25" s="9">
        <v>22</v>
      </c>
      <c r="AG25" s="9">
        <v>22</v>
      </c>
      <c r="AH25" s="9">
        <v>43</v>
      </c>
      <c r="AI25" s="12">
        <f t="shared" si="0"/>
        <v>689</v>
      </c>
      <c r="AJ25" s="3" t="s">
        <v>326</v>
      </c>
    </row>
    <row r="26" spans="1:36" x14ac:dyDescent="0.3">
      <c r="A26" s="1">
        <v>20</v>
      </c>
      <c r="B26" s="8">
        <v>265001</v>
      </c>
      <c r="C26" s="8">
        <v>24410260130</v>
      </c>
      <c r="D26" s="8" t="s">
        <v>191</v>
      </c>
      <c r="E26" s="9">
        <v>54</v>
      </c>
      <c r="F26" s="9">
        <v>23</v>
      </c>
      <c r="G26" s="97">
        <f t="shared" si="1"/>
        <v>77</v>
      </c>
      <c r="H26" s="100">
        <v>21</v>
      </c>
      <c r="I26" s="100">
        <v>42</v>
      </c>
      <c r="J26" s="99">
        <f t="shared" si="2"/>
        <v>63</v>
      </c>
      <c r="K26" s="9">
        <v>41</v>
      </c>
      <c r="L26" s="95">
        <v>21</v>
      </c>
      <c r="M26" s="9">
        <f t="shared" si="3"/>
        <v>62</v>
      </c>
      <c r="N26" s="10">
        <v>22</v>
      </c>
      <c r="O26" s="9">
        <v>43</v>
      </c>
      <c r="P26" s="9">
        <f t="shared" si="4"/>
        <v>65</v>
      </c>
      <c r="Q26" s="9">
        <v>22</v>
      </c>
      <c r="R26" s="9">
        <v>28</v>
      </c>
      <c r="S26" s="9">
        <v>14</v>
      </c>
      <c r="T26" s="9">
        <f t="shared" si="5"/>
        <v>42</v>
      </c>
      <c r="U26" s="9">
        <v>21</v>
      </c>
      <c r="V26" s="9">
        <v>23</v>
      </c>
      <c r="W26" s="9">
        <f t="shared" si="6"/>
        <v>44</v>
      </c>
      <c r="X26" s="9">
        <v>22</v>
      </c>
      <c r="Y26" s="9">
        <v>34</v>
      </c>
      <c r="Z26" s="26">
        <v>15</v>
      </c>
      <c r="AA26" s="26">
        <f t="shared" si="7"/>
        <v>49</v>
      </c>
      <c r="AB26" s="26">
        <v>22</v>
      </c>
      <c r="AC26" s="26">
        <v>43</v>
      </c>
      <c r="AD26" s="26">
        <f t="shared" si="8"/>
        <v>65</v>
      </c>
      <c r="AE26" s="9">
        <v>22</v>
      </c>
      <c r="AF26" s="9">
        <v>22</v>
      </c>
      <c r="AG26" s="9">
        <v>22</v>
      </c>
      <c r="AH26" s="9">
        <v>42</v>
      </c>
      <c r="AI26" s="12">
        <f t="shared" si="0"/>
        <v>619</v>
      </c>
      <c r="AJ26" s="3" t="s">
        <v>332</v>
      </c>
    </row>
    <row r="27" spans="1:36" x14ac:dyDescent="0.3">
      <c r="A27" s="1">
        <v>21</v>
      </c>
      <c r="B27" s="8">
        <v>265002</v>
      </c>
      <c r="C27" s="8">
        <v>24410260131</v>
      </c>
      <c r="D27" s="8" t="s">
        <v>192</v>
      </c>
      <c r="E27" s="9">
        <v>67</v>
      </c>
      <c r="F27" s="9">
        <v>28</v>
      </c>
      <c r="G27" s="97">
        <f t="shared" si="1"/>
        <v>95</v>
      </c>
      <c r="H27" s="101">
        <v>24</v>
      </c>
      <c r="I27" s="101">
        <v>49</v>
      </c>
      <c r="J27" s="99">
        <f t="shared" si="2"/>
        <v>73</v>
      </c>
      <c r="K27" s="9">
        <v>52</v>
      </c>
      <c r="L27" s="95">
        <v>27</v>
      </c>
      <c r="M27" s="9">
        <f t="shared" si="3"/>
        <v>79</v>
      </c>
      <c r="N27" s="10">
        <v>23</v>
      </c>
      <c r="O27" s="9">
        <v>47</v>
      </c>
      <c r="P27" s="9">
        <f t="shared" si="4"/>
        <v>70</v>
      </c>
      <c r="Q27" s="9">
        <v>23</v>
      </c>
      <c r="R27" s="9">
        <v>69</v>
      </c>
      <c r="S27" s="9">
        <v>29</v>
      </c>
      <c r="T27" s="9">
        <f t="shared" si="5"/>
        <v>98</v>
      </c>
      <c r="U27" s="9">
        <v>23</v>
      </c>
      <c r="V27" s="9">
        <v>24</v>
      </c>
      <c r="W27" s="9">
        <f t="shared" si="6"/>
        <v>47</v>
      </c>
      <c r="X27" s="9">
        <v>24</v>
      </c>
      <c r="Y27" s="9">
        <v>56</v>
      </c>
      <c r="Z27" s="26">
        <v>30</v>
      </c>
      <c r="AA27" s="26">
        <f t="shared" si="7"/>
        <v>86</v>
      </c>
      <c r="AB27" s="26">
        <v>24</v>
      </c>
      <c r="AC27" s="26">
        <v>48</v>
      </c>
      <c r="AD27" s="26">
        <f t="shared" si="8"/>
        <v>72</v>
      </c>
      <c r="AE27" s="9">
        <v>24</v>
      </c>
      <c r="AF27" s="9">
        <v>23</v>
      </c>
      <c r="AG27" s="9">
        <v>23</v>
      </c>
      <c r="AH27" s="9">
        <v>46</v>
      </c>
      <c r="AI27" s="12">
        <f t="shared" si="0"/>
        <v>783</v>
      </c>
      <c r="AJ27" s="3" t="s">
        <v>326</v>
      </c>
    </row>
    <row r="28" spans="1:36" x14ac:dyDescent="0.3">
      <c r="A28" s="1">
        <v>22</v>
      </c>
      <c r="B28" s="8">
        <v>265003</v>
      </c>
      <c r="C28" s="8">
        <v>24410260132</v>
      </c>
      <c r="D28" s="8" t="s">
        <v>193</v>
      </c>
      <c r="E28" s="9">
        <v>64</v>
      </c>
      <c r="F28" s="9">
        <v>21</v>
      </c>
      <c r="G28" s="97">
        <f t="shared" si="1"/>
        <v>85</v>
      </c>
      <c r="H28" s="100">
        <v>21</v>
      </c>
      <c r="I28" s="100">
        <v>42</v>
      </c>
      <c r="J28" s="99">
        <f t="shared" si="2"/>
        <v>63</v>
      </c>
      <c r="K28" s="9">
        <v>44</v>
      </c>
      <c r="L28" s="95">
        <v>15</v>
      </c>
      <c r="M28" s="9">
        <f t="shared" si="3"/>
        <v>59</v>
      </c>
      <c r="N28" s="10">
        <v>21</v>
      </c>
      <c r="O28" s="9">
        <v>42</v>
      </c>
      <c r="P28" s="9">
        <f t="shared" si="4"/>
        <v>63</v>
      </c>
      <c r="Q28" s="9">
        <v>21</v>
      </c>
      <c r="R28" s="9">
        <v>40</v>
      </c>
      <c r="S28" s="9">
        <v>22</v>
      </c>
      <c r="T28" s="9">
        <f t="shared" si="5"/>
        <v>62</v>
      </c>
      <c r="U28" s="9">
        <v>22</v>
      </c>
      <c r="V28" s="9">
        <v>23</v>
      </c>
      <c r="W28" s="9">
        <f t="shared" si="6"/>
        <v>45</v>
      </c>
      <c r="X28" s="9">
        <v>24</v>
      </c>
      <c r="Y28" s="9">
        <v>56</v>
      </c>
      <c r="Z28" s="26">
        <v>15</v>
      </c>
      <c r="AA28" s="26">
        <f t="shared" si="7"/>
        <v>71</v>
      </c>
      <c r="AB28" s="26">
        <v>21</v>
      </c>
      <c r="AC28" s="26">
        <v>42</v>
      </c>
      <c r="AD28" s="26">
        <f t="shared" si="8"/>
        <v>63</v>
      </c>
      <c r="AE28" s="9">
        <v>21</v>
      </c>
      <c r="AF28" s="9">
        <v>22</v>
      </c>
      <c r="AG28" s="9">
        <v>22</v>
      </c>
      <c r="AH28" s="9">
        <v>40</v>
      </c>
      <c r="AI28" s="12">
        <f t="shared" si="0"/>
        <v>661</v>
      </c>
      <c r="AJ28" s="3" t="s">
        <v>326</v>
      </c>
    </row>
    <row r="29" spans="1:36" x14ac:dyDescent="0.3">
      <c r="A29" s="1">
        <v>23</v>
      </c>
      <c r="B29" s="8">
        <v>265004</v>
      </c>
      <c r="C29" s="8">
        <v>24410260133</v>
      </c>
      <c r="D29" s="8" t="s">
        <v>194</v>
      </c>
      <c r="E29" s="9">
        <v>67</v>
      </c>
      <c r="F29" s="9">
        <v>29</v>
      </c>
      <c r="G29" s="97">
        <f t="shared" si="1"/>
        <v>96</v>
      </c>
      <c r="H29" s="101">
        <v>24</v>
      </c>
      <c r="I29" s="101">
        <v>49</v>
      </c>
      <c r="J29" s="99">
        <f t="shared" si="2"/>
        <v>73</v>
      </c>
      <c r="K29" s="9">
        <v>56</v>
      </c>
      <c r="L29" s="95">
        <v>27</v>
      </c>
      <c r="M29" s="9">
        <f t="shared" si="3"/>
        <v>83</v>
      </c>
      <c r="N29" s="10">
        <v>23</v>
      </c>
      <c r="O29" s="9">
        <v>49</v>
      </c>
      <c r="P29" s="9">
        <f t="shared" si="4"/>
        <v>72</v>
      </c>
      <c r="Q29" s="9">
        <v>22</v>
      </c>
      <c r="R29" s="9">
        <v>70</v>
      </c>
      <c r="S29" s="9">
        <v>29</v>
      </c>
      <c r="T29" s="9">
        <f t="shared" si="5"/>
        <v>99</v>
      </c>
      <c r="U29" s="9">
        <v>23</v>
      </c>
      <c r="V29" s="9">
        <v>24</v>
      </c>
      <c r="W29" s="9">
        <f t="shared" si="6"/>
        <v>47</v>
      </c>
      <c r="X29" s="9">
        <v>24</v>
      </c>
      <c r="Y29" s="9">
        <v>66</v>
      </c>
      <c r="Z29" s="26">
        <v>30</v>
      </c>
      <c r="AA29" s="26">
        <f t="shared" si="7"/>
        <v>96</v>
      </c>
      <c r="AB29" s="26">
        <v>24</v>
      </c>
      <c r="AC29" s="26">
        <v>48</v>
      </c>
      <c r="AD29" s="26">
        <f t="shared" si="8"/>
        <v>72</v>
      </c>
      <c r="AE29" s="9">
        <v>24</v>
      </c>
      <c r="AF29" s="9">
        <v>23</v>
      </c>
      <c r="AG29" s="9">
        <v>23</v>
      </c>
      <c r="AH29" s="9">
        <v>45</v>
      </c>
      <c r="AI29" s="12">
        <f t="shared" si="0"/>
        <v>799</v>
      </c>
      <c r="AJ29" s="3" t="s">
        <v>326</v>
      </c>
    </row>
    <row r="30" spans="1:36" x14ac:dyDescent="0.3">
      <c r="A30" s="1">
        <v>24</v>
      </c>
      <c r="B30" s="8">
        <v>265005</v>
      </c>
      <c r="C30" s="8">
        <v>24410260135</v>
      </c>
      <c r="D30" s="8" t="s">
        <v>195</v>
      </c>
      <c r="E30" s="9">
        <v>61</v>
      </c>
      <c r="F30" s="9">
        <v>25</v>
      </c>
      <c r="G30" s="97">
        <f t="shared" si="1"/>
        <v>86</v>
      </c>
      <c r="H30" s="100">
        <v>22</v>
      </c>
      <c r="I30" s="100">
        <v>44</v>
      </c>
      <c r="J30" s="99">
        <f t="shared" si="2"/>
        <v>66</v>
      </c>
      <c r="K30" s="9">
        <v>37</v>
      </c>
      <c r="L30" s="95">
        <v>18</v>
      </c>
      <c r="M30" s="9">
        <f t="shared" si="3"/>
        <v>55</v>
      </c>
      <c r="N30" s="10">
        <v>22</v>
      </c>
      <c r="O30" s="9">
        <v>42</v>
      </c>
      <c r="P30" s="9">
        <f t="shared" si="4"/>
        <v>64</v>
      </c>
      <c r="Q30" s="9">
        <v>22</v>
      </c>
      <c r="R30" s="9">
        <v>36</v>
      </c>
      <c r="S30" s="9">
        <v>13</v>
      </c>
      <c r="T30" s="9">
        <f t="shared" si="5"/>
        <v>49</v>
      </c>
      <c r="U30" s="9">
        <v>21</v>
      </c>
      <c r="V30" s="9">
        <v>23</v>
      </c>
      <c r="W30" s="9">
        <f t="shared" si="6"/>
        <v>44</v>
      </c>
      <c r="X30" s="9">
        <v>23</v>
      </c>
      <c r="Y30" s="9">
        <v>38</v>
      </c>
      <c r="Z30" s="26">
        <v>15</v>
      </c>
      <c r="AA30" s="26">
        <f t="shared" si="7"/>
        <v>53</v>
      </c>
      <c r="AB30" s="26">
        <v>21</v>
      </c>
      <c r="AC30" s="26">
        <v>42</v>
      </c>
      <c r="AD30" s="26">
        <f t="shared" si="8"/>
        <v>63</v>
      </c>
      <c r="AE30" s="9">
        <v>22</v>
      </c>
      <c r="AF30" s="9">
        <v>22</v>
      </c>
      <c r="AG30" s="9">
        <v>22</v>
      </c>
      <c r="AH30" s="9">
        <v>41</v>
      </c>
      <c r="AI30" s="70">
        <f>SUM(G30,J30,M30,P30,Q30,T30,W30,AA30,AD30,AE30,AF30,AG30,AH30,X30)+5</f>
        <v>637</v>
      </c>
      <c r="AJ30" s="3" t="s">
        <v>326</v>
      </c>
    </row>
    <row r="31" spans="1:36" x14ac:dyDescent="0.3">
      <c r="A31" s="1">
        <v>25</v>
      </c>
      <c r="B31" s="8">
        <v>265006</v>
      </c>
      <c r="C31" s="8">
        <v>24410260139</v>
      </c>
      <c r="D31" s="8" t="s">
        <v>196</v>
      </c>
      <c r="E31" s="9">
        <v>49</v>
      </c>
      <c r="F31" s="9">
        <v>21</v>
      </c>
      <c r="G31" s="97">
        <f t="shared" si="1"/>
        <v>70</v>
      </c>
      <c r="H31" s="100">
        <v>21</v>
      </c>
      <c r="I31" s="100">
        <v>42</v>
      </c>
      <c r="J31" s="99">
        <f t="shared" si="2"/>
        <v>63</v>
      </c>
      <c r="K31" s="9">
        <v>38</v>
      </c>
      <c r="L31" s="95">
        <v>19</v>
      </c>
      <c r="M31" s="9">
        <f t="shared" si="3"/>
        <v>57</v>
      </c>
      <c r="N31" s="10">
        <v>22</v>
      </c>
      <c r="O31" s="9">
        <v>44</v>
      </c>
      <c r="P31" s="9">
        <f t="shared" si="4"/>
        <v>66</v>
      </c>
      <c r="Q31" s="9">
        <v>22</v>
      </c>
      <c r="R31" s="9">
        <v>26</v>
      </c>
      <c r="S31" s="9">
        <v>14</v>
      </c>
      <c r="T31" s="9">
        <f t="shared" si="5"/>
        <v>40</v>
      </c>
      <c r="U31" s="9">
        <v>21</v>
      </c>
      <c r="V31" s="9">
        <v>22</v>
      </c>
      <c r="W31" s="9">
        <f t="shared" si="6"/>
        <v>43</v>
      </c>
      <c r="X31" s="9">
        <v>21</v>
      </c>
      <c r="Y31" s="9">
        <v>40</v>
      </c>
      <c r="Z31" s="26">
        <v>15</v>
      </c>
      <c r="AA31" s="26">
        <f t="shared" si="7"/>
        <v>55</v>
      </c>
      <c r="AB31" s="26">
        <v>21</v>
      </c>
      <c r="AC31" s="26">
        <v>44</v>
      </c>
      <c r="AD31" s="26">
        <f t="shared" si="8"/>
        <v>65</v>
      </c>
      <c r="AE31" s="9">
        <v>22</v>
      </c>
      <c r="AF31" s="9">
        <v>22</v>
      </c>
      <c r="AG31" s="9">
        <v>22</v>
      </c>
      <c r="AH31" s="9">
        <v>42</v>
      </c>
      <c r="AI31" s="12">
        <f t="shared" si="0"/>
        <v>610</v>
      </c>
      <c r="AJ31" s="3" t="s">
        <v>332</v>
      </c>
    </row>
    <row r="32" spans="1:36" x14ac:dyDescent="0.3">
      <c r="A32" s="1">
        <v>26</v>
      </c>
      <c r="B32" s="8">
        <v>265007</v>
      </c>
      <c r="C32" s="8">
        <v>24410260141</v>
      </c>
      <c r="D32" s="8" t="s">
        <v>197</v>
      </c>
      <c r="E32" s="9">
        <v>60</v>
      </c>
      <c r="F32" s="9">
        <v>22</v>
      </c>
      <c r="G32" s="97">
        <f t="shared" si="1"/>
        <v>82</v>
      </c>
      <c r="H32" s="100">
        <v>18</v>
      </c>
      <c r="I32" s="100">
        <v>36</v>
      </c>
      <c r="J32" s="99">
        <f t="shared" si="2"/>
        <v>54</v>
      </c>
      <c r="K32" s="9">
        <v>33</v>
      </c>
      <c r="L32" s="95">
        <v>19</v>
      </c>
      <c r="M32" s="9">
        <f t="shared" si="3"/>
        <v>52</v>
      </c>
      <c r="N32" s="10">
        <v>18</v>
      </c>
      <c r="O32" s="9">
        <v>30</v>
      </c>
      <c r="P32" s="9">
        <f t="shared" si="4"/>
        <v>48</v>
      </c>
      <c r="Q32" s="9">
        <v>18</v>
      </c>
      <c r="R32" s="9">
        <v>28</v>
      </c>
      <c r="S32" s="9">
        <v>20</v>
      </c>
      <c r="T32" s="9">
        <f t="shared" si="5"/>
        <v>48</v>
      </c>
      <c r="U32" s="9">
        <v>18</v>
      </c>
      <c r="V32" s="9">
        <v>19</v>
      </c>
      <c r="W32" s="9">
        <f t="shared" si="6"/>
        <v>37</v>
      </c>
      <c r="X32" s="9">
        <v>23</v>
      </c>
      <c r="Y32" s="9">
        <v>30</v>
      </c>
      <c r="Z32" s="26">
        <v>25</v>
      </c>
      <c r="AA32" s="26">
        <f t="shared" si="7"/>
        <v>55</v>
      </c>
      <c r="AB32" s="26">
        <v>19</v>
      </c>
      <c r="AC32" s="26">
        <v>32</v>
      </c>
      <c r="AD32" s="26">
        <f t="shared" si="8"/>
        <v>51</v>
      </c>
      <c r="AE32" s="9">
        <v>19</v>
      </c>
      <c r="AF32" s="9">
        <v>22</v>
      </c>
      <c r="AG32" s="9">
        <v>22</v>
      </c>
      <c r="AH32" s="9">
        <v>42</v>
      </c>
      <c r="AI32" s="12">
        <f t="shared" si="0"/>
        <v>573</v>
      </c>
      <c r="AJ32" s="3" t="s">
        <v>332</v>
      </c>
    </row>
    <row r="33" spans="1:36" x14ac:dyDescent="0.3">
      <c r="A33" s="1">
        <v>27</v>
      </c>
      <c r="B33" s="8">
        <v>265008</v>
      </c>
      <c r="C33" s="8">
        <v>24410260142</v>
      </c>
      <c r="D33" s="8" t="s">
        <v>198</v>
      </c>
      <c r="E33" s="9">
        <v>56</v>
      </c>
      <c r="F33" s="9">
        <v>20</v>
      </c>
      <c r="G33" s="97">
        <f t="shared" si="1"/>
        <v>76</v>
      </c>
      <c r="H33" s="100">
        <v>21</v>
      </c>
      <c r="I33" s="100">
        <v>42</v>
      </c>
      <c r="J33" s="99">
        <f t="shared" si="2"/>
        <v>63</v>
      </c>
      <c r="K33" s="9">
        <v>48</v>
      </c>
      <c r="L33" s="95">
        <v>18</v>
      </c>
      <c r="M33" s="9">
        <f t="shared" si="3"/>
        <v>66</v>
      </c>
      <c r="N33" s="10">
        <v>23</v>
      </c>
      <c r="O33" s="9">
        <v>46</v>
      </c>
      <c r="P33" s="9">
        <f t="shared" si="4"/>
        <v>69</v>
      </c>
      <c r="Q33" s="9">
        <v>22</v>
      </c>
      <c r="R33" s="9">
        <v>39</v>
      </c>
      <c r="S33" s="9">
        <v>20</v>
      </c>
      <c r="T33" s="9">
        <f t="shared" si="5"/>
        <v>59</v>
      </c>
      <c r="U33" s="9">
        <v>21</v>
      </c>
      <c r="V33" s="9">
        <v>23</v>
      </c>
      <c r="W33" s="9">
        <f t="shared" si="6"/>
        <v>44</v>
      </c>
      <c r="X33" s="9">
        <v>23</v>
      </c>
      <c r="Y33" s="9">
        <v>49</v>
      </c>
      <c r="Z33" s="26">
        <v>15</v>
      </c>
      <c r="AA33" s="26">
        <f t="shared" si="7"/>
        <v>64</v>
      </c>
      <c r="AB33" s="26">
        <v>22</v>
      </c>
      <c r="AC33" s="26">
        <v>46</v>
      </c>
      <c r="AD33" s="26">
        <f t="shared" si="8"/>
        <v>68</v>
      </c>
      <c r="AE33" s="9">
        <v>22</v>
      </c>
      <c r="AF33" s="9">
        <v>22</v>
      </c>
      <c r="AG33" s="9">
        <v>22</v>
      </c>
      <c r="AH33" s="9">
        <v>42</v>
      </c>
      <c r="AI33" s="12">
        <f t="shared" si="0"/>
        <v>662</v>
      </c>
      <c r="AJ33" s="3" t="s">
        <v>326</v>
      </c>
    </row>
    <row r="34" spans="1:36" x14ac:dyDescent="0.3">
      <c r="A34" s="1">
        <v>28</v>
      </c>
      <c r="B34" s="8">
        <v>265009</v>
      </c>
      <c r="C34" s="8">
        <v>24410260143</v>
      </c>
      <c r="D34" s="8" t="s">
        <v>199</v>
      </c>
      <c r="E34" s="9">
        <v>45</v>
      </c>
      <c r="F34" s="9">
        <v>12</v>
      </c>
      <c r="G34" s="97">
        <f t="shared" si="1"/>
        <v>57</v>
      </c>
      <c r="H34" s="100">
        <v>18</v>
      </c>
      <c r="I34" s="100">
        <v>36</v>
      </c>
      <c r="J34" s="99">
        <f t="shared" si="2"/>
        <v>54</v>
      </c>
      <c r="K34" s="9">
        <v>30</v>
      </c>
      <c r="L34" s="95">
        <v>11</v>
      </c>
      <c r="M34" s="9">
        <f t="shared" si="3"/>
        <v>41</v>
      </c>
      <c r="N34" s="10">
        <v>18</v>
      </c>
      <c r="O34" s="9">
        <v>32</v>
      </c>
      <c r="P34" s="9">
        <f t="shared" si="4"/>
        <v>50</v>
      </c>
      <c r="Q34" s="9">
        <v>18</v>
      </c>
      <c r="R34" s="9">
        <v>17</v>
      </c>
      <c r="S34" s="9">
        <v>16</v>
      </c>
      <c r="T34" s="9">
        <f t="shared" si="5"/>
        <v>33</v>
      </c>
      <c r="U34" s="9">
        <v>21</v>
      </c>
      <c r="V34" s="9">
        <v>22</v>
      </c>
      <c r="W34" s="9">
        <f t="shared" si="6"/>
        <v>43</v>
      </c>
      <c r="X34" s="9">
        <v>19</v>
      </c>
      <c r="Y34" s="9">
        <v>44</v>
      </c>
      <c r="Z34" s="26">
        <v>12</v>
      </c>
      <c r="AA34" s="26">
        <f t="shared" si="7"/>
        <v>56</v>
      </c>
      <c r="AB34" s="26">
        <v>19</v>
      </c>
      <c r="AC34" s="26">
        <v>34</v>
      </c>
      <c r="AD34" s="26">
        <f t="shared" si="8"/>
        <v>53</v>
      </c>
      <c r="AE34" s="9">
        <v>19</v>
      </c>
      <c r="AF34" s="9">
        <v>22</v>
      </c>
      <c r="AG34" s="9">
        <v>22</v>
      </c>
      <c r="AH34" s="9">
        <v>37</v>
      </c>
      <c r="AI34" s="12">
        <f t="shared" si="0"/>
        <v>524</v>
      </c>
      <c r="AJ34" s="3" t="s">
        <v>334</v>
      </c>
    </row>
    <row r="35" spans="1:36" x14ac:dyDescent="0.3">
      <c r="A35" s="1">
        <v>29</v>
      </c>
      <c r="B35" s="8">
        <v>265010</v>
      </c>
      <c r="C35" s="8">
        <v>24410260144</v>
      </c>
      <c r="D35" s="8" t="s">
        <v>200</v>
      </c>
      <c r="E35" s="9">
        <v>53</v>
      </c>
      <c r="F35" s="9">
        <v>14</v>
      </c>
      <c r="G35" s="97">
        <f t="shared" si="1"/>
        <v>67</v>
      </c>
      <c r="H35" s="100">
        <v>19</v>
      </c>
      <c r="I35" s="100">
        <v>38</v>
      </c>
      <c r="J35" s="99">
        <f t="shared" si="2"/>
        <v>57</v>
      </c>
      <c r="K35" s="9">
        <v>45</v>
      </c>
      <c r="L35" s="95">
        <v>16</v>
      </c>
      <c r="M35" s="9">
        <f t="shared" si="3"/>
        <v>61</v>
      </c>
      <c r="N35" s="10">
        <v>22</v>
      </c>
      <c r="O35" s="9">
        <v>44</v>
      </c>
      <c r="P35" s="9">
        <f t="shared" si="4"/>
        <v>66</v>
      </c>
      <c r="Q35" s="9">
        <v>22</v>
      </c>
      <c r="R35" s="9">
        <v>38</v>
      </c>
      <c r="S35" s="9">
        <v>11</v>
      </c>
      <c r="T35" s="9">
        <f t="shared" si="5"/>
        <v>49</v>
      </c>
      <c r="U35" s="9">
        <v>21</v>
      </c>
      <c r="V35" s="9">
        <v>22</v>
      </c>
      <c r="W35" s="9">
        <f t="shared" si="6"/>
        <v>43</v>
      </c>
      <c r="X35" s="9">
        <v>24</v>
      </c>
      <c r="Y35" s="9">
        <v>37</v>
      </c>
      <c r="Z35" s="26">
        <v>14</v>
      </c>
      <c r="AA35" s="26">
        <f t="shared" si="7"/>
        <v>51</v>
      </c>
      <c r="AB35" s="26">
        <v>21</v>
      </c>
      <c r="AC35" s="26">
        <v>44</v>
      </c>
      <c r="AD35" s="26">
        <f t="shared" si="8"/>
        <v>65</v>
      </c>
      <c r="AE35" s="9">
        <v>22</v>
      </c>
      <c r="AF35" s="9">
        <v>22</v>
      </c>
      <c r="AG35" s="9">
        <v>22</v>
      </c>
      <c r="AH35" s="9">
        <v>40</v>
      </c>
      <c r="AI35" s="12">
        <f t="shared" si="0"/>
        <v>611</v>
      </c>
      <c r="AJ35" s="3" t="s">
        <v>332</v>
      </c>
    </row>
    <row r="36" spans="1:36" x14ac:dyDescent="0.3">
      <c r="A36" s="1">
        <v>30</v>
      </c>
      <c r="B36" s="8">
        <v>265011</v>
      </c>
      <c r="C36" s="8">
        <v>24410260145</v>
      </c>
      <c r="D36" s="8" t="s">
        <v>201</v>
      </c>
      <c r="E36" s="9">
        <v>68</v>
      </c>
      <c r="F36" s="9">
        <v>30</v>
      </c>
      <c r="G36" s="97">
        <f t="shared" si="1"/>
        <v>98</v>
      </c>
      <c r="H36" s="101">
        <v>24</v>
      </c>
      <c r="I36" s="101">
        <v>49</v>
      </c>
      <c r="J36" s="99">
        <f t="shared" si="2"/>
        <v>73</v>
      </c>
      <c r="K36" s="9">
        <v>63</v>
      </c>
      <c r="L36" s="95">
        <v>30</v>
      </c>
      <c r="M36" s="9">
        <f t="shared" si="3"/>
        <v>93</v>
      </c>
      <c r="N36" s="10">
        <v>23</v>
      </c>
      <c r="O36" s="9">
        <v>48</v>
      </c>
      <c r="P36" s="9">
        <f t="shared" si="4"/>
        <v>71</v>
      </c>
      <c r="Q36" s="9">
        <v>23</v>
      </c>
      <c r="R36" s="9">
        <v>59</v>
      </c>
      <c r="S36" s="9">
        <v>25</v>
      </c>
      <c r="T36" s="9">
        <f t="shared" si="5"/>
        <v>84</v>
      </c>
      <c r="U36" s="9">
        <v>24</v>
      </c>
      <c r="V36" s="9">
        <v>23</v>
      </c>
      <c r="W36" s="9">
        <f t="shared" si="6"/>
        <v>47</v>
      </c>
      <c r="X36" s="9">
        <v>23</v>
      </c>
      <c r="Y36" s="9">
        <v>50</v>
      </c>
      <c r="Z36" s="26">
        <v>29</v>
      </c>
      <c r="AA36" s="26">
        <f t="shared" si="7"/>
        <v>79</v>
      </c>
      <c r="AB36" s="26">
        <v>24</v>
      </c>
      <c r="AC36" s="26">
        <v>48</v>
      </c>
      <c r="AD36" s="26">
        <f t="shared" si="8"/>
        <v>72</v>
      </c>
      <c r="AE36" s="9">
        <v>24</v>
      </c>
      <c r="AF36" s="9">
        <v>23</v>
      </c>
      <c r="AG36" s="9">
        <v>23</v>
      </c>
      <c r="AH36" s="9">
        <v>42</v>
      </c>
      <c r="AI36" s="12">
        <f t="shared" si="0"/>
        <v>775</v>
      </c>
      <c r="AJ36" s="3" t="s">
        <v>333</v>
      </c>
    </row>
    <row r="37" spans="1:36" x14ac:dyDescent="0.3">
      <c r="A37" s="1">
        <v>31</v>
      </c>
      <c r="B37" s="8">
        <v>265012</v>
      </c>
      <c r="C37" s="8">
        <v>24410260146</v>
      </c>
      <c r="D37" s="8" t="s">
        <v>202</v>
      </c>
      <c r="E37" s="9">
        <v>51</v>
      </c>
      <c r="F37" s="9">
        <v>20</v>
      </c>
      <c r="G37" s="97">
        <f t="shared" si="1"/>
        <v>71</v>
      </c>
      <c r="H37" s="100">
        <v>20</v>
      </c>
      <c r="I37" s="100">
        <v>40</v>
      </c>
      <c r="J37" s="99">
        <f t="shared" si="2"/>
        <v>60</v>
      </c>
      <c r="K37" s="9">
        <v>30</v>
      </c>
      <c r="L37" s="95">
        <v>7</v>
      </c>
      <c r="M37" s="9">
        <f t="shared" si="3"/>
        <v>37</v>
      </c>
      <c r="N37" s="10">
        <v>20</v>
      </c>
      <c r="O37" s="9">
        <v>38</v>
      </c>
      <c r="P37" s="9">
        <f t="shared" si="4"/>
        <v>58</v>
      </c>
      <c r="Q37" s="9">
        <v>20</v>
      </c>
      <c r="R37" s="9">
        <v>28</v>
      </c>
      <c r="S37" s="9">
        <v>13</v>
      </c>
      <c r="T37" s="9">
        <f t="shared" si="5"/>
        <v>41</v>
      </c>
      <c r="U37" s="9">
        <v>20</v>
      </c>
      <c r="V37" s="9">
        <v>21</v>
      </c>
      <c r="W37" s="9">
        <f t="shared" si="6"/>
        <v>41</v>
      </c>
      <c r="X37" s="9">
        <v>22</v>
      </c>
      <c r="Y37" s="9">
        <v>30</v>
      </c>
      <c r="Z37" s="26">
        <v>13</v>
      </c>
      <c r="AA37" s="26">
        <f t="shared" si="7"/>
        <v>43</v>
      </c>
      <c r="AB37" s="26">
        <v>20</v>
      </c>
      <c r="AC37" s="26">
        <v>38</v>
      </c>
      <c r="AD37" s="26">
        <f t="shared" si="8"/>
        <v>58</v>
      </c>
      <c r="AE37" s="9">
        <v>20</v>
      </c>
      <c r="AF37" s="9">
        <v>21</v>
      </c>
      <c r="AG37" s="9">
        <v>21</v>
      </c>
      <c r="AH37" s="9">
        <v>42</v>
      </c>
      <c r="AI37" s="12">
        <f t="shared" si="0"/>
        <v>555</v>
      </c>
      <c r="AJ37" s="3" t="s">
        <v>334</v>
      </c>
    </row>
    <row r="38" spans="1:36" x14ac:dyDescent="0.3">
      <c r="A38" s="1">
        <v>32</v>
      </c>
      <c r="B38" s="8">
        <v>265013</v>
      </c>
      <c r="C38" s="8">
        <v>24410260147</v>
      </c>
      <c r="D38" s="8" t="s">
        <v>203</v>
      </c>
      <c r="E38" s="9">
        <v>49</v>
      </c>
      <c r="F38" s="9">
        <v>26</v>
      </c>
      <c r="G38" s="97">
        <f t="shared" si="1"/>
        <v>75</v>
      </c>
      <c r="H38" s="100">
        <v>22</v>
      </c>
      <c r="I38" s="100">
        <v>43</v>
      </c>
      <c r="J38" s="99">
        <f t="shared" si="2"/>
        <v>65</v>
      </c>
      <c r="K38" s="9">
        <v>6</v>
      </c>
      <c r="L38" s="95">
        <v>21</v>
      </c>
      <c r="M38" s="9">
        <f t="shared" si="3"/>
        <v>27</v>
      </c>
      <c r="N38" s="10">
        <v>21</v>
      </c>
      <c r="O38" s="9">
        <v>40</v>
      </c>
      <c r="P38" s="9">
        <f t="shared" si="4"/>
        <v>61</v>
      </c>
      <c r="Q38" s="9">
        <v>21</v>
      </c>
      <c r="R38" s="9">
        <v>20</v>
      </c>
      <c r="S38" s="9">
        <v>20</v>
      </c>
      <c r="T38" s="9">
        <f t="shared" si="5"/>
        <v>40</v>
      </c>
      <c r="U38" s="9">
        <v>21</v>
      </c>
      <c r="V38" s="9">
        <v>21</v>
      </c>
      <c r="W38" s="9">
        <f t="shared" si="6"/>
        <v>42</v>
      </c>
      <c r="X38" s="9">
        <v>21</v>
      </c>
      <c r="Y38" s="9">
        <v>31</v>
      </c>
      <c r="Z38" s="26">
        <v>25</v>
      </c>
      <c r="AA38" s="26">
        <f t="shared" si="7"/>
        <v>56</v>
      </c>
      <c r="AB38" s="26">
        <v>21</v>
      </c>
      <c r="AC38" s="26">
        <v>40</v>
      </c>
      <c r="AD38" s="26">
        <f t="shared" si="8"/>
        <v>61</v>
      </c>
      <c r="AE38" s="9">
        <v>21</v>
      </c>
      <c r="AF38" s="9">
        <v>22</v>
      </c>
      <c r="AG38" s="9">
        <v>22</v>
      </c>
      <c r="AH38" s="9">
        <v>42</v>
      </c>
      <c r="AI38" s="12">
        <f t="shared" si="0"/>
        <v>576</v>
      </c>
      <c r="AJ38" s="3" t="s">
        <v>327</v>
      </c>
    </row>
    <row r="39" spans="1:36" x14ac:dyDescent="0.3">
      <c r="A39" s="1">
        <v>33</v>
      </c>
      <c r="B39" s="8">
        <v>265014</v>
      </c>
      <c r="C39" s="8">
        <v>24410260149</v>
      </c>
      <c r="D39" s="8" t="s">
        <v>204</v>
      </c>
      <c r="E39" s="9">
        <v>62</v>
      </c>
      <c r="F39" s="9">
        <v>25</v>
      </c>
      <c r="G39" s="97">
        <f t="shared" si="1"/>
        <v>87</v>
      </c>
      <c r="H39" s="100">
        <v>22</v>
      </c>
      <c r="I39" s="100">
        <v>44</v>
      </c>
      <c r="J39" s="99">
        <f t="shared" si="2"/>
        <v>66</v>
      </c>
      <c r="K39" s="9">
        <v>49</v>
      </c>
      <c r="L39" s="95">
        <v>23</v>
      </c>
      <c r="M39" s="9">
        <f t="shared" si="3"/>
        <v>72</v>
      </c>
      <c r="N39" s="10">
        <v>22</v>
      </c>
      <c r="O39" s="9">
        <v>42</v>
      </c>
      <c r="P39" s="9">
        <f t="shared" si="4"/>
        <v>64</v>
      </c>
      <c r="Q39" s="9">
        <v>22</v>
      </c>
      <c r="R39" s="9">
        <v>54</v>
      </c>
      <c r="S39" s="9">
        <v>24</v>
      </c>
      <c r="T39" s="9">
        <f t="shared" si="5"/>
        <v>78</v>
      </c>
      <c r="U39" s="9">
        <v>22</v>
      </c>
      <c r="V39" s="9">
        <v>23</v>
      </c>
      <c r="W39" s="9">
        <f t="shared" si="6"/>
        <v>45</v>
      </c>
      <c r="X39" s="9">
        <v>23</v>
      </c>
      <c r="Y39" s="9">
        <v>61</v>
      </c>
      <c r="Z39" s="26">
        <v>21</v>
      </c>
      <c r="AA39" s="26">
        <f t="shared" si="7"/>
        <v>82</v>
      </c>
      <c r="AB39" s="26">
        <v>22</v>
      </c>
      <c r="AC39" s="26">
        <v>43</v>
      </c>
      <c r="AD39" s="26">
        <f t="shared" si="8"/>
        <v>65</v>
      </c>
      <c r="AE39" s="9">
        <v>22</v>
      </c>
      <c r="AF39" s="9">
        <v>23</v>
      </c>
      <c r="AG39" s="9">
        <v>23</v>
      </c>
      <c r="AH39" s="9">
        <v>42</v>
      </c>
      <c r="AI39" s="12">
        <f t="shared" si="0"/>
        <v>714</v>
      </c>
      <c r="AJ39" s="3" t="s">
        <v>333</v>
      </c>
    </row>
    <row r="40" spans="1:36" x14ac:dyDescent="0.3">
      <c r="A40" s="1">
        <v>34</v>
      </c>
      <c r="B40" s="8">
        <v>265015</v>
      </c>
      <c r="C40" s="8">
        <v>24410260150</v>
      </c>
      <c r="D40" s="8" t="s">
        <v>205</v>
      </c>
      <c r="E40" s="9">
        <v>33</v>
      </c>
      <c r="F40" s="9">
        <v>14</v>
      </c>
      <c r="G40" s="97">
        <f t="shared" si="1"/>
        <v>47</v>
      </c>
      <c r="H40" s="100">
        <v>19</v>
      </c>
      <c r="I40" s="100">
        <v>38</v>
      </c>
      <c r="J40" s="99">
        <f t="shared" si="2"/>
        <v>57</v>
      </c>
      <c r="K40" s="9">
        <v>36</v>
      </c>
      <c r="L40" s="95">
        <v>6</v>
      </c>
      <c r="M40" s="9">
        <f t="shared" si="3"/>
        <v>42</v>
      </c>
      <c r="N40" s="10">
        <v>20</v>
      </c>
      <c r="O40" s="9">
        <v>37</v>
      </c>
      <c r="P40" s="9">
        <f t="shared" si="4"/>
        <v>57</v>
      </c>
      <c r="Q40" s="9">
        <v>20</v>
      </c>
      <c r="R40" s="9">
        <v>18</v>
      </c>
      <c r="S40" s="9">
        <v>12</v>
      </c>
      <c r="T40" s="9">
        <f t="shared" si="5"/>
        <v>30</v>
      </c>
      <c r="U40" s="9">
        <v>20</v>
      </c>
      <c r="V40" s="9">
        <v>20</v>
      </c>
      <c r="W40" s="9">
        <f t="shared" si="6"/>
        <v>40</v>
      </c>
      <c r="X40" s="9">
        <v>23</v>
      </c>
      <c r="Y40" s="9">
        <v>27</v>
      </c>
      <c r="Z40" s="26">
        <v>13</v>
      </c>
      <c r="AA40" s="26">
        <f t="shared" si="7"/>
        <v>40</v>
      </c>
      <c r="AB40" s="26">
        <v>20</v>
      </c>
      <c r="AC40" s="26">
        <v>37</v>
      </c>
      <c r="AD40" s="26">
        <f t="shared" si="8"/>
        <v>57</v>
      </c>
      <c r="AE40" s="9">
        <v>20</v>
      </c>
      <c r="AF40" s="9">
        <v>20</v>
      </c>
      <c r="AG40" s="9">
        <v>21</v>
      </c>
      <c r="AH40" s="9">
        <v>42</v>
      </c>
      <c r="AI40" s="12">
        <f t="shared" si="0"/>
        <v>516</v>
      </c>
      <c r="AJ40" s="3" t="s">
        <v>334</v>
      </c>
    </row>
    <row r="41" spans="1:36" x14ac:dyDescent="0.3">
      <c r="A41" s="1">
        <v>35</v>
      </c>
      <c r="B41" s="8">
        <v>265016</v>
      </c>
      <c r="C41" s="8">
        <v>24410260151</v>
      </c>
      <c r="D41" s="8" t="s">
        <v>206</v>
      </c>
      <c r="E41" s="9">
        <v>63</v>
      </c>
      <c r="F41" s="9">
        <v>25</v>
      </c>
      <c r="G41" s="97">
        <f t="shared" si="1"/>
        <v>88</v>
      </c>
      <c r="H41" s="100">
        <v>23</v>
      </c>
      <c r="I41" s="100">
        <v>46</v>
      </c>
      <c r="J41" s="99">
        <f t="shared" si="2"/>
        <v>69</v>
      </c>
      <c r="K41" s="9">
        <v>49</v>
      </c>
      <c r="L41" s="95">
        <v>23</v>
      </c>
      <c r="M41" s="9">
        <f t="shared" si="3"/>
        <v>72</v>
      </c>
      <c r="N41" s="10">
        <v>23</v>
      </c>
      <c r="O41" s="9">
        <v>45</v>
      </c>
      <c r="P41" s="9">
        <f t="shared" si="4"/>
        <v>68</v>
      </c>
      <c r="Q41" s="9">
        <v>22</v>
      </c>
      <c r="R41" s="9">
        <v>58</v>
      </c>
      <c r="S41" s="9">
        <v>25</v>
      </c>
      <c r="T41" s="9">
        <f t="shared" si="5"/>
        <v>83</v>
      </c>
      <c r="U41" s="9">
        <v>24</v>
      </c>
      <c r="V41" s="9">
        <v>24</v>
      </c>
      <c r="W41" s="9">
        <f t="shared" si="6"/>
        <v>48</v>
      </c>
      <c r="X41" s="9">
        <v>23</v>
      </c>
      <c r="Y41" s="9">
        <v>60</v>
      </c>
      <c r="Z41" s="26">
        <v>16</v>
      </c>
      <c r="AA41" s="26">
        <f t="shared" si="7"/>
        <v>76</v>
      </c>
      <c r="AB41" s="26">
        <v>23</v>
      </c>
      <c r="AC41" s="26">
        <v>45</v>
      </c>
      <c r="AD41" s="26">
        <f t="shared" si="8"/>
        <v>68</v>
      </c>
      <c r="AE41" s="9">
        <v>23</v>
      </c>
      <c r="AF41" s="9">
        <v>22</v>
      </c>
      <c r="AG41" s="9">
        <v>22</v>
      </c>
      <c r="AH41" s="9">
        <v>44</v>
      </c>
      <c r="AI41" s="12">
        <f t="shared" si="0"/>
        <v>728</v>
      </c>
      <c r="AJ41" s="3" t="s">
        <v>333</v>
      </c>
    </row>
    <row r="42" spans="1:36" x14ac:dyDescent="0.3">
      <c r="A42" s="1">
        <v>36</v>
      </c>
      <c r="B42" s="8">
        <v>265017</v>
      </c>
      <c r="C42" s="8">
        <v>24410260152</v>
      </c>
      <c r="D42" s="8" t="s">
        <v>207</v>
      </c>
      <c r="E42" s="9">
        <v>45</v>
      </c>
      <c r="F42" s="9">
        <v>20</v>
      </c>
      <c r="G42" s="97">
        <f t="shared" si="1"/>
        <v>65</v>
      </c>
      <c r="H42" s="100">
        <v>20</v>
      </c>
      <c r="I42" s="100">
        <v>40</v>
      </c>
      <c r="J42" s="99">
        <f t="shared" si="2"/>
        <v>60</v>
      </c>
      <c r="K42" s="9">
        <v>17</v>
      </c>
      <c r="L42" s="95">
        <v>18</v>
      </c>
      <c r="M42" s="9">
        <f t="shared" si="3"/>
        <v>35</v>
      </c>
      <c r="N42" s="10">
        <v>21</v>
      </c>
      <c r="O42" s="9">
        <v>41</v>
      </c>
      <c r="P42" s="9">
        <f t="shared" si="4"/>
        <v>62</v>
      </c>
      <c r="Q42" s="9">
        <v>20</v>
      </c>
      <c r="R42" s="9">
        <v>27</v>
      </c>
      <c r="S42" s="9">
        <v>14</v>
      </c>
      <c r="T42" s="9">
        <f t="shared" si="5"/>
        <v>41</v>
      </c>
      <c r="U42" s="9">
        <v>21</v>
      </c>
      <c r="V42" s="9">
        <v>21</v>
      </c>
      <c r="W42" s="9">
        <f t="shared" si="6"/>
        <v>42</v>
      </c>
      <c r="X42" s="9">
        <v>23</v>
      </c>
      <c r="Y42" s="9">
        <v>20</v>
      </c>
      <c r="Z42" s="26">
        <v>15</v>
      </c>
      <c r="AA42" s="26">
        <f t="shared" si="7"/>
        <v>35</v>
      </c>
      <c r="AB42" s="26">
        <v>21</v>
      </c>
      <c r="AC42" s="26">
        <v>41</v>
      </c>
      <c r="AD42" s="26">
        <f t="shared" si="8"/>
        <v>62</v>
      </c>
      <c r="AE42" s="9">
        <v>21</v>
      </c>
      <c r="AF42" s="9">
        <v>22</v>
      </c>
      <c r="AG42" s="9">
        <v>22</v>
      </c>
      <c r="AH42" s="9">
        <v>37</v>
      </c>
      <c r="AI42" s="12">
        <f t="shared" si="0"/>
        <v>547</v>
      </c>
      <c r="AJ42" s="3" t="s">
        <v>334</v>
      </c>
    </row>
    <row r="43" spans="1:36" x14ac:dyDescent="0.3">
      <c r="A43" s="1">
        <v>37</v>
      </c>
      <c r="B43" s="8">
        <v>265018</v>
      </c>
      <c r="C43" s="8">
        <v>24410260153</v>
      </c>
      <c r="D43" s="8" t="s">
        <v>208</v>
      </c>
      <c r="E43" s="9">
        <v>53</v>
      </c>
      <c r="F43" s="9">
        <v>24</v>
      </c>
      <c r="G43" s="97">
        <f t="shared" si="1"/>
        <v>77</v>
      </c>
      <c r="H43" s="100">
        <v>22</v>
      </c>
      <c r="I43" s="100">
        <v>44</v>
      </c>
      <c r="J43" s="99">
        <f t="shared" si="2"/>
        <v>66</v>
      </c>
      <c r="K43" s="9">
        <v>46</v>
      </c>
      <c r="L43" s="95">
        <v>18</v>
      </c>
      <c r="M43" s="9">
        <f t="shared" si="3"/>
        <v>64</v>
      </c>
      <c r="N43" s="10">
        <v>22</v>
      </c>
      <c r="O43" s="9">
        <v>44</v>
      </c>
      <c r="P43" s="9">
        <f t="shared" si="4"/>
        <v>66</v>
      </c>
      <c r="Q43" s="9">
        <v>22</v>
      </c>
      <c r="R43" s="9">
        <v>35</v>
      </c>
      <c r="S43" s="9">
        <v>21</v>
      </c>
      <c r="T43" s="9">
        <f t="shared" si="5"/>
        <v>56</v>
      </c>
      <c r="U43" s="9">
        <v>22</v>
      </c>
      <c r="V43" s="9">
        <v>23</v>
      </c>
      <c r="W43" s="9">
        <f t="shared" si="6"/>
        <v>45</v>
      </c>
      <c r="X43" s="9">
        <v>21</v>
      </c>
      <c r="Y43" s="9">
        <v>38</v>
      </c>
      <c r="Z43" s="26">
        <v>19</v>
      </c>
      <c r="AA43" s="26">
        <f t="shared" si="7"/>
        <v>57</v>
      </c>
      <c r="AB43" s="26">
        <v>22</v>
      </c>
      <c r="AC43" s="26">
        <v>44</v>
      </c>
      <c r="AD43" s="26">
        <f t="shared" si="8"/>
        <v>66</v>
      </c>
      <c r="AE43" s="9">
        <v>22</v>
      </c>
      <c r="AF43" s="9">
        <v>22</v>
      </c>
      <c r="AG43" s="9">
        <v>22</v>
      </c>
      <c r="AH43" s="9">
        <v>45</v>
      </c>
      <c r="AI43" s="12">
        <f t="shared" si="0"/>
        <v>651</v>
      </c>
      <c r="AJ43" s="3" t="s">
        <v>333</v>
      </c>
    </row>
    <row r="44" spans="1:36" x14ac:dyDescent="0.3">
      <c r="A44" s="1">
        <v>38</v>
      </c>
      <c r="B44" s="8">
        <v>265019</v>
      </c>
      <c r="C44" s="8">
        <v>24410260154</v>
      </c>
      <c r="D44" s="8" t="s">
        <v>209</v>
      </c>
      <c r="E44" s="9">
        <v>51</v>
      </c>
      <c r="F44" s="9">
        <v>20</v>
      </c>
      <c r="G44" s="97">
        <f t="shared" si="1"/>
        <v>71</v>
      </c>
      <c r="H44" s="100">
        <v>20</v>
      </c>
      <c r="I44" s="100">
        <v>40</v>
      </c>
      <c r="J44" s="99">
        <f t="shared" si="2"/>
        <v>60</v>
      </c>
      <c r="K44" s="9">
        <v>34</v>
      </c>
      <c r="L44" s="95">
        <v>12</v>
      </c>
      <c r="M44" s="9">
        <f t="shared" si="3"/>
        <v>46</v>
      </c>
      <c r="N44" s="10">
        <v>20</v>
      </c>
      <c r="O44" s="9">
        <v>39</v>
      </c>
      <c r="P44" s="9">
        <f t="shared" si="4"/>
        <v>59</v>
      </c>
      <c r="Q44" s="9">
        <v>20</v>
      </c>
      <c r="R44" s="9">
        <v>28</v>
      </c>
      <c r="S44" s="9">
        <v>12</v>
      </c>
      <c r="T44" s="9">
        <f t="shared" si="5"/>
        <v>40</v>
      </c>
      <c r="U44" s="9">
        <v>21</v>
      </c>
      <c r="V44" s="9">
        <v>21</v>
      </c>
      <c r="W44" s="9">
        <f t="shared" si="6"/>
        <v>42</v>
      </c>
      <c r="X44" s="9">
        <v>20</v>
      </c>
      <c r="Y44" s="9">
        <v>31</v>
      </c>
      <c r="Z44" s="26">
        <v>14</v>
      </c>
      <c r="AA44" s="26">
        <f t="shared" si="7"/>
        <v>45</v>
      </c>
      <c r="AB44" s="26">
        <v>20</v>
      </c>
      <c r="AC44" s="26">
        <v>40</v>
      </c>
      <c r="AD44" s="26">
        <f t="shared" si="8"/>
        <v>60</v>
      </c>
      <c r="AE44" s="9">
        <v>20</v>
      </c>
      <c r="AF44" s="9">
        <v>22</v>
      </c>
      <c r="AG44" s="9">
        <v>22</v>
      </c>
      <c r="AH44" s="9">
        <v>37</v>
      </c>
      <c r="AI44" s="12">
        <f t="shared" si="0"/>
        <v>564</v>
      </c>
      <c r="AJ44" s="3" t="s">
        <v>332</v>
      </c>
    </row>
    <row r="45" spans="1:36" x14ac:dyDescent="0.3">
      <c r="A45" s="1">
        <v>39</v>
      </c>
      <c r="B45" s="8">
        <v>265020</v>
      </c>
      <c r="C45" s="8">
        <v>24410260155</v>
      </c>
      <c r="D45" s="8" t="s">
        <v>210</v>
      </c>
      <c r="E45" s="9">
        <v>54</v>
      </c>
      <c r="F45" s="9">
        <v>26</v>
      </c>
      <c r="G45" s="97">
        <f t="shared" si="1"/>
        <v>80</v>
      </c>
      <c r="H45" s="101">
        <v>24</v>
      </c>
      <c r="I45" s="100">
        <v>47</v>
      </c>
      <c r="J45" s="99">
        <f t="shared" si="2"/>
        <v>71</v>
      </c>
      <c r="K45" s="9">
        <v>46</v>
      </c>
      <c r="L45" s="95">
        <v>28</v>
      </c>
      <c r="M45" s="9">
        <f t="shared" si="3"/>
        <v>74</v>
      </c>
      <c r="N45" s="10">
        <v>23</v>
      </c>
      <c r="O45" s="9">
        <v>48</v>
      </c>
      <c r="P45" s="9">
        <f t="shared" si="4"/>
        <v>71</v>
      </c>
      <c r="Q45" s="9">
        <v>23</v>
      </c>
      <c r="R45" s="9">
        <v>37</v>
      </c>
      <c r="S45" s="9">
        <v>23</v>
      </c>
      <c r="T45" s="9">
        <f t="shared" si="5"/>
        <v>60</v>
      </c>
      <c r="U45" s="9">
        <v>24</v>
      </c>
      <c r="V45" s="9">
        <v>23</v>
      </c>
      <c r="W45" s="9">
        <f t="shared" si="6"/>
        <v>47</v>
      </c>
      <c r="X45" s="9">
        <v>24</v>
      </c>
      <c r="Y45" s="9">
        <v>50</v>
      </c>
      <c r="Z45" s="26">
        <v>14</v>
      </c>
      <c r="AA45" s="26">
        <f t="shared" si="7"/>
        <v>64</v>
      </c>
      <c r="AB45" s="26">
        <v>23</v>
      </c>
      <c r="AC45" s="26">
        <v>48</v>
      </c>
      <c r="AD45" s="26">
        <f t="shared" si="8"/>
        <v>71</v>
      </c>
      <c r="AE45" s="9">
        <v>24</v>
      </c>
      <c r="AF45" s="9">
        <v>23</v>
      </c>
      <c r="AG45" s="9">
        <v>23</v>
      </c>
      <c r="AH45" s="9">
        <v>45</v>
      </c>
      <c r="AI45" s="12">
        <f t="shared" si="0"/>
        <v>700</v>
      </c>
      <c r="AJ45" s="3" t="s">
        <v>333</v>
      </c>
    </row>
    <row r="46" spans="1:36" x14ac:dyDescent="0.3">
      <c r="A46" s="1">
        <v>40</v>
      </c>
      <c r="B46" s="8">
        <v>265021</v>
      </c>
      <c r="C46" s="8">
        <v>24410260156</v>
      </c>
      <c r="D46" s="8" t="s">
        <v>211</v>
      </c>
      <c r="E46" s="9">
        <v>38</v>
      </c>
      <c r="F46" s="9">
        <v>16</v>
      </c>
      <c r="G46" s="97">
        <f t="shared" si="1"/>
        <v>54</v>
      </c>
      <c r="H46" s="100">
        <v>19</v>
      </c>
      <c r="I46" s="100">
        <v>38</v>
      </c>
      <c r="J46" s="99">
        <f t="shared" si="2"/>
        <v>57</v>
      </c>
      <c r="K46" s="9">
        <v>27</v>
      </c>
      <c r="L46" s="95">
        <v>17</v>
      </c>
      <c r="M46" s="9">
        <f t="shared" si="3"/>
        <v>44</v>
      </c>
      <c r="N46" s="10">
        <v>22</v>
      </c>
      <c r="O46" s="9">
        <v>42</v>
      </c>
      <c r="P46" s="9">
        <f t="shared" si="4"/>
        <v>64</v>
      </c>
      <c r="Q46" s="9">
        <v>22</v>
      </c>
      <c r="R46" s="9">
        <v>21</v>
      </c>
      <c r="S46" s="9">
        <v>15</v>
      </c>
      <c r="T46" s="9">
        <f t="shared" si="5"/>
        <v>36</v>
      </c>
      <c r="U46" s="9">
        <v>19</v>
      </c>
      <c r="V46" s="9">
        <v>21</v>
      </c>
      <c r="W46" s="9">
        <f t="shared" si="6"/>
        <v>40</v>
      </c>
      <c r="X46" s="9">
        <v>21</v>
      </c>
      <c r="Y46" s="9">
        <v>25</v>
      </c>
      <c r="Z46" s="26">
        <v>4</v>
      </c>
      <c r="AA46" s="26">
        <f t="shared" si="7"/>
        <v>29</v>
      </c>
      <c r="AB46" s="26">
        <v>22</v>
      </c>
      <c r="AC46" s="26">
        <v>42</v>
      </c>
      <c r="AD46" s="26">
        <f t="shared" si="8"/>
        <v>64</v>
      </c>
      <c r="AE46" s="9">
        <v>22</v>
      </c>
      <c r="AF46" s="9">
        <v>22</v>
      </c>
      <c r="AG46" s="9">
        <v>22</v>
      </c>
      <c r="AH46" s="9">
        <v>42</v>
      </c>
      <c r="AI46" s="12">
        <f t="shared" si="0"/>
        <v>539</v>
      </c>
      <c r="AJ46" s="3" t="s">
        <v>327</v>
      </c>
    </row>
    <row r="47" spans="1:36" x14ac:dyDescent="0.3">
      <c r="A47" s="1">
        <v>41</v>
      </c>
      <c r="B47" s="8">
        <v>265022</v>
      </c>
      <c r="C47" s="8">
        <v>24410260157</v>
      </c>
      <c r="D47" s="8" t="s">
        <v>212</v>
      </c>
      <c r="E47" s="9">
        <v>54</v>
      </c>
      <c r="F47" s="9">
        <v>26</v>
      </c>
      <c r="G47" s="97">
        <f t="shared" si="1"/>
        <v>80</v>
      </c>
      <c r="H47" s="100">
        <v>23</v>
      </c>
      <c r="I47" s="100">
        <v>46</v>
      </c>
      <c r="J47" s="99">
        <f t="shared" si="2"/>
        <v>69</v>
      </c>
      <c r="K47" s="9">
        <v>31</v>
      </c>
      <c r="L47" s="95">
        <v>28</v>
      </c>
      <c r="M47" s="9">
        <f t="shared" si="3"/>
        <v>59</v>
      </c>
      <c r="N47" s="10">
        <v>23</v>
      </c>
      <c r="O47" s="9">
        <v>46</v>
      </c>
      <c r="P47" s="9">
        <f t="shared" si="4"/>
        <v>69</v>
      </c>
      <c r="Q47" s="9">
        <v>22</v>
      </c>
      <c r="R47" s="9">
        <v>20</v>
      </c>
      <c r="S47" s="9">
        <v>23</v>
      </c>
      <c r="T47" s="9">
        <f t="shared" si="5"/>
        <v>43</v>
      </c>
      <c r="U47" s="9">
        <v>22</v>
      </c>
      <c r="V47" s="9">
        <v>24</v>
      </c>
      <c r="W47" s="9">
        <f t="shared" si="6"/>
        <v>46</v>
      </c>
      <c r="X47" s="9">
        <v>23</v>
      </c>
      <c r="Y47" s="9">
        <v>35</v>
      </c>
      <c r="Z47" s="26">
        <v>29</v>
      </c>
      <c r="AA47" s="26">
        <f t="shared" si="7"/>
        <v>64</v>
      </c>
      <c r="AB47" s="26">
        <v>23</v>
      </c>
      <c r="AC47" s="26">
        <v>46</v>
      </c>
      <c r="AD47" s="26">
        <f t="shared" si="8"/>
        <v>69</v>
      </c>
      <c r="AE47" s="9">
        <v>23</v>
      </c>
      <c r="AF47" s="9">
        <v>23</v>
      </c>
      <c r="AG47" s="9">
        <v>23</v>
      </c>
      <c r="AH47" s="9">
        <v>45</v>
      </c>
      <c r="AI47" s="12">
        <f t="shared" si="0"/>
        <v>658</v>
      </c>
      <c r="AJ47" s="3" t="s">
        <v>333</v>
      </c>
    </row>
    <row r="48" spans="1:36" x14ac:dyDescent="0.3">
      <c r="A48" s="1">
        <v>42</v>
      </c>
      <c r="B48" s="8">
        <v>265023</v>
      </c>
      <c r="C48" s="8">
        <v>24410260158</v>
      </c>
      <c r="D48" s="8" t="s">
        <v>213</v>
      </c>
      <c r="E48" s="9">
        <v>62</v>
      </c>
      <c r="F48" s="9">
        <v>28</v>
      </c>
      <c r="G48" s="97">
        <f t="shared" si="1"/>
        <v>90</v>
      </c>
      <c r="H48" s="100">
        <v>23</v>
      </c>
      <c r="I48" s="100">
        <v>46</v>
      </c>
      <c r="J48" s="99">
        <f t="shared" si="2"/>
        <v>69</v>
      </c>
      <c r="K48" s="9">
        <v>48</v>
      </c>
      <c r="L48" s="95">
        <v>27</v>
      </c>
      <c r="M48" s="9">
        <f t="shared" si="3"/>
        <v>75</v>
      </c>
      <c r="N48" s="10">
        <v>23</v>
      </c>
      <c r="O48" s="9">
        <v>46</v>
      </c>
      <c r="P48" s="9">
        <f t="shared" si="4"/>
        <v>69</v>
      </c>
      <c r="Q48" s="9">
        <v>22</v>
      </c>
      <c r="R48" s="9">
        <v>52</v>
      </c>
      <c r="S48" s="9">
        <v>26</v>
      </c>
      <c r="T48" s="9">
        <f t="shared" si="5"/>
        <v>78</v>
      </c>
      <c r="U48" s="9">
        <v>23</v>
      </c>
      <c r="V48" s="9">
        <v>23</v>
      </c>
      <c r="W48" s="9">
        <f t="shared" si="6"/>
        <v>46</v>
      </c>
      <c r="X48" s="9">
        <v>22</v>
      </c>
      <c r="Y48" s="9">
        <v>59</v>
      </c>
      <c r="Z48" s="26">
        <v>19</v>
      </c>
      <c r="AA48" s="26">
        <f t="shared" si="7"/>
        <v>78</v>
      </c>
      <c r="AB48" s="26">
        <v>23</v>
      </c>
      <c r="AC48" s="26">
        <v>46</v>
      </c>
      <c r="AD48" s="26">
        <f t="shared" si="8"/>
        <v>69</v>
      </c>
      <c r="AE48" s="9">
        <v>23</v>
      </c>
      <c r="AF48" s="9">
        <v>23</v>
      </c>
      <c r="AG48" s="9">
        <v>23</v>
      </c>
      <c r="AH48" s="9">
        <v>44</v>
      </c>
      <c r="AI48" s="12">
        <f t="shared" si="0"/>
        <v>731</v>
      </c>
      <c r="AJ48" s="3" t="s">
        <v>333</v>
      </c>
    </row>
    <row r="49" spans="1:36" x14ac:dyDescent="0.3">
      <c r="A49" s="1">
        <v>43</v>
      </c>
      <c r="B49" s="8">
        <v>265024</v>
      </c>
      <c r="C49" s="8">
        <v>24410260159</v>
      </c>
      <c r="D49" s="8" t="s">
        <v>214</v>
      </c>
      <c r="E49" s="9">
        <v>12</v>
      </c>
      <c r="F49" s="9">
        <v>10</v>
      </c>
      <c r="G49" s="97">
        <f t="shared" si="1"/>
        <v>22</v>
      </c>
      <c r="H49" s="100">
        <v>17</v>
      </c>
      <c r="I49" s="100">
        <v>35</v>
      </c>
      <c r="J49" s="99">
        <f t="shared" si="2"/>
        <v>52</v>
      </c>
      <c r="K49" s="9">
        <v>28</v>
      </c>
      <c r="L49" s="95">
        <v>19</v>
      </c>
      <c r="M49" s="9">
        <f t="shared" si="3"/>
        <v>47</v>
      </c>
      <c r="N49" s="10">
        <v>18</v>
      </c>
      <c r="O49" s="9">
        <v>31</v>
      </c>
      <c r="P49" s="9">
        <f t="shared" si="4"/>
        <v>49</v>
      </c>
      <c r="Q49" s="9">
        <v>18</v>
      </c>
      <c r="R49" s="9">
        <v>11</v>
      </c>
      <c r="S49" s="9">
        <v>12</v>
      </c>
      <c r="T49" s="9">
        <f t="shared" si="5"/>
        <v>23</v>
      </c>
      <c r="U49" s="9">
        <v>20</v>
      </c>
      <c r="V49" s="9">
        <v>18</v>
      </c>
      <c r="W49" s="9">
        <f t="shared" si="6"/>
        <v>38</v>
      </c>
      <c r="X49" s="9">
        <v>22</v>
      </c>
      <c r="Y49" s="9">
        <v>13</v>
      </c>
      <c r="Z49" s="26">
        <v>2</v>
      </c>
      <c r="AA49" s="26">
        <f t="shared" si="7"/>
        <v>15</v>
      </c>
      <c r="AB49" s="26">
        <v>19</v>
      </c>
      <c r="AC49" s="26">
        <v>31</v>
      </c>
      <c r="AD49" s="26">
        <f t="shared" si="8"/>
        <v>50</v>
      </c>
      <c r="AE49" s="9">
        <v>19</v>
      </c>
      <c r="AF49" s="9">
        <v>22</v>
      </c>
      <c r="AG49" s="10">
        <v>22</v>
      </c>
      <c r="AH49" s="9">
        <v>40</v>
      </c>
      <c r="AI49" s="12">
        <f t="shared" si="0"/>
        <v>439</v>
      </c>
      <c r="AJ49" s="3" t="s">
        <v>325</v>
      </c>
    </row>
    <row r="50" spans="1:36" x14ac:dyDescent="0.3">
      <c r="A50" s="1">
        <v>44</v>
      </c>
      <c r="B50" s="8">
        <v>265025</v>
      </c>
      <c r="C50" s="8">
        <v>24410260160</v>
      </c>
      <c r="D50" s="8" t="s">
        <v>215</v>
      </c>
      <c r="E50" s="10">
        <v>51</v>
      </c>
      <c r="F50" s="10">
        <v>16</v>
      </c>
      <c r="G50" s="97">
        <f t="shared" si="1"/>
        <v>67</v>
      </c>
      <c r="H50" s="100">
        <v>18</v>
      </c>
      <c r="I50" s="100">
        <v>36</v>
      </c>
      <c r="J50" s="99">
        <f t="shared" si="2"/>
        <v>54</v>
      </c>
      <c r="K50" s="10">
        <v>32</v>
      </c>
      <c r="L50" s="95">
        <v>24</v>
      </c>
      <c r="M50" s="9">
        <f t="shared" si="3"/>
        <v>56</v>
      </c>
      <c r="N50" s="10">
        <v>20</v>
      </c>
      <c r="O50" s="10">
        <v>37</v>
      </c>
      <c r="P50" s="9">
        <f t="shared" si="4"/>
        <v>57</v>
      </c>
      <c r="Q50" s="10">
        <v>20</v>
      </c>
      <c r="R50" s="10">
        <v>30</v>
      </c>
      <c r="S50" s="10">
        <v>21</v>
      </c>
      <c r="T50" s="9">
        <f t="shared" si="5"/>
        <v>51</v>
      </c>
      <c r="U50" s="10">
        <v>20</v>
      </c>
      <c r="V50" s="10">
        <v>18</v>
      </c>
      <c r="W50" s="9">
        <f t="shared" si="6"/>
        <v>38</v>
      </c>
      <c r="X50" s="10">
        <v>21</v>
      </c>
      <c r="Y50" s="10">
        <v>27</v>
      </c>
      <c r="Z50" s="19">
        <v>18</v>
      </c>
      <c r="AA50" s="26">
        <f t="shared" si="7"/>
        <v>45</v>
      </c>
      <c r="AB50" s="19">
        <v>20</v>
      </c>
      <c r="AC50" s="19">
        <v>37</v>
      </c>
      <c r="AD50" s="26">
        <f t="shared" si="8"/>
        <v>57</v>
      </c>
      <c r="AE50" s="10">
        <v>20</v>
      </c>
      <c r="AF50" s="10">
        <v>22</v>
      </c>
      <c r="AG50" s="10">
        <v>22</v>
      </c>
      <c r="AH50" s="9">
        <v>40</v>
      </c>
      <c r="AI50" s="12">
        <f t="shared" si="0"/>
        <v>570</v>
      </c>
      <c r="AJ50" s="3" t="s">
        <v>332</v>
      </c>
    </row>
    <row r="51" spans="1:36" x14ac:dyDescent="0.3">
      <c r="A51" s="1">
        <v>45</v>
      </c>
      <c r="B51" s="8">
        <v>265026</v>
      </c>
      <c r="C51" s="8">
        <v>24410260161</v>
      </c>
      <c r="D51" s="8" t="s">
        <v>216</v>
      </c>
      <c r="E51" s="9">
        <v>62</v>
      </c>
      <c r="F51" s="9">
        <v>25</v>
      </c>
      <c r="G51" s="97">
        <f t="shared" si="1"/>
        <v>87</v>
      </c>
      <c r="H51" s="100">
        <v>22</v>
      </c>
      <c r="I51" s="100">
        <v>45</v>
      </c>
      <c r="J51" s="99">
        <f t="shared" si="2"/>
        <v>67</v>
      </c>
      <c r="K51" s="9">
        <v>45</v>
      </c>
      <c r="L51" s="95">
        <v>25</v>
      </c>
      <c r="M51" s="9">
        <f t="shared" si="3"/>
        <v>70</v>
      </c>
      <c r="N51" s="10">
        <v>23</v>
      </c>
      <c r="O51" s="9">
        <v>46</v>
      </c>
      <c r="P51" s="9">
        <f t="shared" si="4"/>
        <v>69</v>
      </c>
      <c r="Q51" s="9">
        <v>22</v>
      </c>
      <c r="R51" s="9">
        <v>53</v>
      </c>
      <c r="S51" s="9">
        <v>25</v>
      </c>
      <c r="T51" s="9">
        <f t="shared" si="5"/>
        <v>78</v>
      </c>
      <c r="U51" s="9">
        <v>21</v>
      </c>
      <c r="V51" s="9">
        <v>23</v>
      </c>
      <c r="W51" s="9">
        <f t="shared" si="6"/>
        <v>44</v>
      </c>
      <c r="X51" s="9">
        <v>23</v>
      </c>
      <c r="Y51" s="9">
        <v>60</v>
      </c>
      <c r="Z51" s="26">
        <v>18</v>
      </c>
      <c r="AA51" s="26">
        <f t="shared" si="7"/>
        <v>78</v>
      </c>
      <c r="AB51" s="26">
        <v>22</v>
      </c>
      <c r="AC51" s="26">
        <v>44</v>
      </c>
      <c r="AD51" s="26">
        <f t="shared" si="8"/>
        <v>66</v>
      </c>
      <c r="AE51" s="9">
        <v>22</v>
      </c>
      <c r="AF51" s="9">
        <v>23</v>
      </c>
      <c r="AG51" s="10">
        <v>23</v>
      </c>
      <c r="AH51" s="9">
        <v>44</v>
      </c>
      <c r="AI51" s="12">
        <f t="shared" si="0"/>
        <v>716</v>
      </c>
      <c r="AJ51" s="3" t="s">
        <v>333</v>
      </c>
    </row>
    <row r="52" spans="1:36" x14ac:dyDescent="0.3">
      <c r="A52" s="1">
        <v>46</v>
      </c>
      <c r="B52" s="8">
        <v>265027</v>
      </c>
      <c r="C52" s="8">
        <v>24410260162</v>
      </c>
      <c r="D52" s="8" t="s">
        <v>217</v>
      </c>
      <c r="E52" s="9">
        <v>48</v>
      </c>
      <c r="F52" s="9">
        <v>26</v>
      </c>
      <c r="G52" s="97">
        <f t="shared" si="1"/>
        <v>74</v>
      </c>
      <c r="H52" s="100">
        <v>21</v>
      </c>
      <c r="I52" s="100">
        <v>43</v>
      </c>
      <c r="J52" s="99">
        <f t="shared" si="2"/>
        <v>64</v>
      </c>
      <c r="K52" s="9">
        <v>46</v>
      </c>
      <c r="L52" s="95">
        <v>16</v>
      </c>
      <c r="M52" s="9">
        <f t="shared" si="3"/>
        <v>62</v>
      </c>
      <c r="N52" s="10">
        <v>21</v>
      </c>
      <c r="O52" s="9">
        <v>41</v>
      </c>
      <c r="P52" s="9">
        <f t="shared" si="4"/>
        <v>62</v>
      </c>
      <c r="Q52" s="9">
        <v>18</v>
      </c>
      <c r="R52" s="9">
        <v>32</v>
      </c>
      <c r="S52" s="9">
        <v>14</v>
      </c>
      <c r="T52" s="9">
        <f t="shared" si="5"/>
        <v>46</v>
      </c>
      <c r="U52" s="9">
        <v>19</v>
      </c>
      <c r="V52" s="9">
        <v>21</v>
      </c>
      <c r="W52" s="9">
        <f t="shared" si="6"/>
        <v>40</v>
      </c>
      <c r="X52" s="9">
        <v>21</v>
      </c>
      <c r="Y52" s="9">
        <v>37</v>
      </c>
      <c r="Z52" s="26">
        <v>13</v>
      </c>
      <c r="AA52" s="26">
        <f t="shared" si="7"/>
        <v>50</v>
      </c>
      <c r="AB52" s="26">
        <v>21</v>
      </c>
      <c r="AC52" s="26">
        <v>41</v>
      </c>
      <c r="AD52" s="26">
        <f t="shared" si="8"/>
        <v>62</v>
      </c>
      <c r="AE52" s="9">
        <v>21</v>
      </c>
      <c r="AF52" s="9">
        <v>22</v>
      </c>
      <c r="AG52" s="9">
        <v>22</v>
      </c>
      <c r="AH52" s="9">
        <v>38</v>
      </c>
      <c r="AI52" s="12">
        <f t="shared" si="0"/>
        <v>602</v>
      </c>
      <c r="AJ52" s="3" t="s">
        <v>332</v>
      </c>
    </row>
    <row r="53" spans="1:36" x14ac:dyDescent="0.3">
      <c r="A53" s="1">
        <v>47</v>
      </c>
      <c r="B53" s="8">
        <v>265028</v>
      </c>
      <c r="C53" s="8">
        <v>24410260163</v>
      </c>
      <c r="D53" s="8" t="s">
        <v>218</v>
      </c>
      <c r="E53" s="9">
        <v>37</v>
      </c>
      <c r="F53" s="9">
        <v>23</v>
      </c>
      <c r="G53" s="97">
        <f t="shared" si="1"/>
        <v>60</v>
      </c>
      <c r="H53" s="100">
        <v>21</v>
      </c>
      <c r="I53" s="100">
        <v>42</v>
      </c>
      <c r="J53" s="99">
        <f t="shared" si="2"/>
        <v>63</v>
      </c>
      <c r="K53" s="9">
        <v>33</v>
      </c>
      <c r="L53" s="95">
        <v>18</v>
      </c>
      <c r="M53" s="9">
        <f t="shared" si="3"/>
        <v>51</v>
      </c>
      <c r="N53" s="10">
        <v>20</v>
      </c>
      <c r="O53" s="9">
        <v>42</v>
      </c>
      <c r="P53" s="9">
        <f t="shared" si="4"/>
        <v>62</v>
      </c>
      <c r="Q53" s="9">
        <v>20</v>
      </c>
      <c r="R53" s="9">
        <v>13</v>
      </c>
      <c r="S53" s="9">
        <v>15</v>
      </c>
      <c r="T53" s="9">
        <f t="shared" si="5"/>
        <v>28</v>
      </c>
      <c r="U53" s="9">
        <v>19</v>
      </c>
      <c r="V53" s="9">
        <v>21</v>
      </c>
      <c r="W53" s="9">
        <f t="shared" si="6"/>
        <v>40</v>
      </c>
      <c r="X53" s="9">
        <v>20</v>
      </c>
      <c r="Y53" s="9">
        <v>22</v>
      </c>
      <c r="Z53" s="26">
        <v>9</v>
      </c>
      <c r="AA53" s="26">
        <f t="shared" si="7"/>
        <v>31</v>
      </c>
      <c r="AB53" s="26">
        <v>21</v>
      </c>
      <c r="AC53" s="26">
        <v>42</v>
      </c>
      <c r="AD53" s="26">
        <f t="shared" si="8"/>
        <v>63</v>
      </c>
      <c r="AE53" s="9">
        <v>20</v>
      </c>
      <c r="AF53" s="9">
        <v>22</v>
      </c>
      <c r="AG53" s="9">
        <v>22</v>
      </c>
      <c r="AH53" s="9">
        <v>42</v>
      </c>
      <c r="AI53" s="12">
        <f t="shared" si="0"/>
        <v>544</v>
      </c>
      <c r="AJ53" s="3" t="s">
        <v>327</v>
      </c>
    </row>
    <row r="54" spans="1:36" x14ac:dyDescent="0.3">
      <c r="A54" s="1">
        <v>48</v>
      </c>
      <c r="B54" s="8">
        <v>265029</v>
      </c>
      <c r="C54" s="8">
        <v>24410260164</v>
      </c>
      <c r="D54" s="8" t="s">
        <v>219</v>
      </c>
      <c r="E54" s="9">
        <v>66</v>
      </c>
      <c r="F54" s="9">
        <v>29</v>
      </c>
      <c r="G54" s="97">
        <f t="shared" si="1"/>
        <v>95</v>
      </c>
      <c r="H54" s="101">
        <v>24</v>
      </c>
      <c r="I54" s="101">
        <v>49</v>
      </c>
      <c r="J54" s="99">
        <f t="shared" si="2"/>
        <v>73</v>
      </c>
      <c r="K54" s="9">
        <v>47</v>
      </c>
      <c r="L54" s="95">
        <v>29</v>
      </c>
      <c r="M54" s="9">
        <f t="shared" si="3"/>
        <v>76</v>
      </c>
      <c r="N54" s="10">
        <v>23</v>
      </c>
      <c r="O54" s="9">
        <v>47</v>
      </c>
      <c r="P54" s="9">
        <f t="shared" si="4"/>
        <v>70</v>
      </c>
      <c r="Q54" s="9">
        <v>23</v>
      </c>
      <c r="R54" s="9">
        <v>56</v>
      </c>
      <c r="S54" s="9">
        <v>29</v>
      </c>
      <c r="T54" s="9">
        <f t="shared" si="5"/>
        <v>85</v>
      </c>
      <c r="U54" s="9">
        <v>22</v>
      </c>
      <c r="V54" s="9">
        <v>24</v>
      </c>
      <c r="W54" s="9">
        <f t="shared" si="6"/>
        <v>46</v>
      </c>
      <c r="X54" s="9">
        <v>23</v>
      </c>
      <c r="Y54" s="9">
        <v>69</v>
      </c>
      <c r="Z54" s="26">
        <v>26</v>
      </c>
      <c r="AA54" s="26">
        <f t="shared" si="7"/>
        <v>95</v>
      </c>
      <c r="AB54" s="26">
        <v>24</v>
      </c>
      <c r="AC54" s="26">
        <v>48</v>
      </c>
      <c r="AD54" s="26">
        <f t="shared" si="8"/>
        <v>72</v>
      </c>
      <c r="AE54" s="9">
        <v>24</v>
      </c>
      <c r="AF54" s="9">
        <v>23</v>
      </c>
      <c r="AG54" s="9">
        <v>23</v>
      </c>
      <c r="AH54" s="9">
        <v>45</v>
      </c>
      <c r="AI54" s="12">
        <f t="shared" si="0"/>
        <v>773</v>
      </c>
      <c r="AJ54" s="3" t="s">
        <v>333</v>
      </c>
    </row>
    <row r="55" spans="1:36" x14ac:dyDescent="0.3">
      <c r="A55" s="1">
        <v>49</v>
      </c>
      <c r="B55" s="8">
        <v>265030</v>
      </c>
      <c r="C55" s="8">
        <v>24410260165</v>
      </c>
      <c r="D55" s="8" t="s">
        <v>220</v>
      </c>
      <c r="E55" s="9">
        <v>27</v>
      </c>
      <c r="F55" s="9">
        <v>13</v>
      </c>
      <c r="G55" s="97">
        <f t="shared" si="1"/>
        <v>40</v>
      </c>
      <c r="H55" s="100">
        <v>19</v>
      </c>
      <c r="I55" s="100">
        <v>38</v>
      </c>
      <c r="J55" s="99">
        <f t="shared" si="2"/>
        <v>57</v>
      </c>
      <c r="K55" s="9">
        <v>20</v>
      </c>
      <c r="L55" s="95">
        <v>13</v>
      </c>
      <c r="M55" s="9">
        <f t="shared" si="3"/>
        <v>33</v>
      </c>
      <c r="N55" s="10">
        <v>20</v>
      </c>
      <c r="O55" s="9">
        <v>28</v>
      </c>
      <c r="P55" s="9">
        <f t="shared" si="4"/>
        <v>48</v>
      </c>
      <c r="Q55" s="9">
        <v>20</v>
      </c>
      <c r="R55" s="9">
        <v>0</v>
      </c>
      <c r="S55" s="9">
        <v>6</v>
      </c>
      <c r="T55" s="9">
        <f t="shared" si="5"/>
        <v>6</v>
      </c>
      <c r="U55" s="9">
        <v>17</v>
      </c>
      <c r="V55" s="9">
        <v>17</v>
      </c>
      <c r="W55" s="9">
        <f t="shared" si="6"/>
        <v>34</v>
      </c>
      <c r="X55" s="9">
        <v>22</v>
      </c>
      <c r="Y55" s="9">
        <v>15</v>
      </c>
      <c r="Z55" s="26">
        <v>0</v>
      </c>
      <c r="AA55" s="26">
        <f t="shared" si="7"/>
        <v>15</v>
      </c>
      <c r="AB55" s="26">
        <v>19</v>
      </c>
      <c r="AC55" s="26">
        <v>29</v>
      </c>
      <c r="AD55" s="26">
        <f t="shared" si="8"/>
        <v>48</v>
      </c>
      <c r="AE55" s="9">
        <v>20</v>
      </c>
      <c r="AF55" s="9">
        <v>20</v>
      </c>
      <c r="AG55" s="9">
        <v>21</v>
      </c>
      <c r="AH55" s="9">
        <v>41</v>
      </c>
      <c r="AI55" s="12">
        <f t="shared" si="0"/>
        <v>425</v>
      </c>
      <c r="AJ55" s="3" t="s">
        <v>325</v>
      </c>
    </row>
    <row r="56" spans="1:36" x14ac:dyDescent="0.3">
      <c r="A56" s="1">
        <v>50</v>
      </c>
      <c r="B56" s="8">
        <v>265031</v>
      </c>
      <c r="C56" s="8">
        <v>24410260167</v>
      </c>
      <c r="D56" s="8" t="s">
        <v>221</v>
      </c>
      <c r="E56" s="9">
        <v>44</v>
      </c>
      <c r="F56" s="9">
        <v>13</v>
      </c>
      <c r="G56" s="97">
        <f t="shared" si="1"/>
        <v>57</v>
      </c>
      <c r="H56" s="100">
        <v>19</v>
      </c>
      <c r="I56" s="100">
        <v>38</v>
      </c>
      <c r="J56" s="99">
        <f t="shared" si="2"/>
        <v>57</v>
      </c>
      <c r="K56" s="9">
        <v>26</v>
      </c>
      <c r="L56" s="95">
        <v>14</v>
      </c>
      <c r="M56" s="9">
        <f t="shared" si="3"/>
        <v>40</v>
      </c>
      <c r="N56" s="10">
        <v>18</v>
      </c>
      <c r="O56" s="9">
        <v>37</v>
      </c>
      <c r="P56" s="9">
        <f t="shared" si="4"/>
        <v>55</v>
      </c>
      <c r="Q56" s="9">
        <v>18</v>
      </c>
      <c r="R56" s="9">
        <v>21</v>
      </c>
      <c r="S56" s="9">
        <v>14</v>
      </c>
      <c r="T56" s="9">
        <f t="shared" si="5"/>
        <v>35</v>
      </c>
      <c r="U56" s="9">
        <v>18</v>
      </c>
      <c r="V56" s="9">
        <v>20</v>
      </c>
      <c r="W56" s="9">
        <f t="shared" si="6"/>
        <v>38</v>
      </c>
      <c r="X56" s="9">
        <v>20</v>
      </c>
      <c r="Y56" s="9">
        <v>24</v>
      </c>
      <c r="Z56" s="26">
        <v>9</v>
      </c>
      <c r="AA56" s="26">
        <f t="shared" si="7"/>
        <v>33</v>
      </c>
      <c r="AB56" s="26">
        <v>19</v>
      </c>
      <c r="AC56" s="26">
        <v>37</v>
      </c>
      <c r="AD56" s="26">
        <f t="shared" si="8"/>
        <v>56</v>
      </c>
      <c r="AE56" s="9">
        <v>19</v>
      </c>
      <c r="AF56" s="9">
        <v>21</v>
      </c>
      <c r="AG56" s="9">
        <v>21</v>
      </c>
      <c r="AH56" s="9">
        <v>35</v>
      </c>
      <c r="AI56" s="12">
        <f t="shared" si="0"/>
        <v>505</v>
      </c>
      <c r="AJ56" s="3" t="s">
        <v>327</v>
      </c>
    </row>
    <row r="57" spans="1:36" x14ac:dyDescent="0.3">
      <c r="A57" s="1">
        <v>51</v>
      </c>
      <c r="B57" s="8">
        <v>265032</v>
      </c>
      <c r="C57" s="8">
        <v>24410260168</v>
      </c>
      <c r="D57" s="8" t="s">
        <v>222</v>
      </c>
      <c r="E57" s="9">
        <v>27</v>
      </c>
      <c r="F57" s="9">
        <v>14</v>
      </c>
      <c r="G57" s="97">
        <f t="shared" si="1"/>
        <v>41</v>
      </c>
      <c r="H57" s="100">
        <v>20</v>
      </c>
      <c r="I57" s="100">
        <v>40</v>
      </c>
      <c r="J57" s="99">
        <f t="shared" si="2"/>
        <v>60</v>
      </c>
      <c r="K57" s="9">
        <v>30</v>
      </c>
      <c r="L57" s="95">
        <v>4</v>
      </c>
      <c r="M57" s="9">
        <f t="shared" si="3"/>
        <v>34</v>
      </c>
      <c r="N57" s="10">
        <v>20</v>
      </c>
      <c r="O57" s="9">
        <v>38</v>
      </c>
      <c r="P57" s="9">
        <f t="shared" si="4"/>
        <v>58</v>
      </c>
      <c r="Q57" s="9">
        <v>21</v>
      </c>
      <c r="R57" s="9">
        <v>20</v>
      </c>
      <c r="S57" s="9">
        <v>12</v>
      </c>
      <c r="T57" s="9">
        <f t="shared" si="5"/>
        <v>32</v>
      </c>
      <c r="U57" s="9">
        <v>21</v>
      </c>
      <c r="V57" s="9">
        <v>22</v>
      </c>
      <c r="W57" s="9">
        <f t="shared" si="6"/>
        <v>43</v>
      </c>
      <c r="X57" s="9">
        <v>23</v>
      </c>
      <c r="Y57" s="9">
        <v>21</v>
      </c>
      <c r="Z57" s="26">
        <v>6</v>
      </c>
      <c r="AA57" s="26">
        <f t="shared" si="7"/>
        <v>27</v>
      </c>
      <c r="AB57" s="26">
        <v>21</v>
      </c>
      <c r="AC57" s="26">
        <v>38</v>
      </c>
      <c r="AD57" s="26">
        <f t="shared" si="8"/>
        <v>59</v>
      </c>
      <c r="AE57" s="9">
        <v>20</v>
      </c>
      <c r="AF57" s="9">
        <v>20</v>
      </c>
      <c r="AG57" s="9">
        <v>21</v>
      </c>
      <c r="AH57" s="9">
        <v>40</v>
      </c>
      <c r="AI57" s="12">
        <f t="shared" si="0"/>
        <v>499</v>
      </c>
      <c r="AJ57" s="3" t="s">
        <v>325</v>
      </c>
    </row>
    <row r="58" spans="1:36" x14ac:dyDescent="0.3">
      <c r="A58" s="1">
        <v>52</v>
      </c>
      <c r="B58" s="8">
        <v>265033</v>
      </c>
      <c r="C58" s="8">
        <v>24410260169</v>
      </c>
      <c r="D58" s="8" t="s">
        <v>223</v>
      </c>
      <c r="E58" s="9">
        <v>66</v>
      </c>
      <c r="F58" s="9">
        <v>25</v>
      </c>
      <c r="G58" s="97">
        <f t="shared" si="1"/>
        <v>91</v>
      </c>
      <c r="H58" s="100">
        <v>22</v>
      </c>
      <c r="I58" s="100">
        <v>45</v>
      </c>
      <c r="J58" s="99">
        <f t="shared" si="2"/>
        <v>67</v>
      </c>
      <c r="K58" s="9">
        <v>52</v>
      </c>
      <c r="L58" s="95">
        <v>24</v>
      </c>
      <c r="M58" s="9">
        <f t="shared" si="3"/>
        <v>76</v>
      </c>
      <c r="N58" s="10">
        <v>23</v>
      </c>
      <c r="O58" s="9">
        <v>46</v>
      </c>
      <c r="P58" s="9">
        <f t="shared" si="4"/>
        <v>69</v>
      </c>
      <c r="Q58" s="9">
        <v>22</v>
      </c>
      <c r="R58" s="9">
        <v>55</v>
      </c>
      <c r="S58" s="9">
        <v>24</v>
      </c>
      <c r="T58" s="9">
        <f t="shared" si="5"/>
        <v>79</v>
      </c>
      <c r="U58" s="9">
        <v>23</v>
      </c>
      <c r="V58" s="9">
        <v>23</v>
      </c>
      <c r="W58" s="9">
        <f t="shared" si="6"/>
        <v>46</v>
      </c>
      <c r="X58" s="9">
        <v>23</v>
      </c>
      <c r="Y58" s="9">
        <v>60</v>
      </c>
      <c r="Z58" s="26">
        <v>21</v>
      </c>
      <c r="AA58" s="26">
        <f t="shared" si="7"/>
        <v>81</v>
      </c>
      <c r="AB58" s="26">
        <v>23</v>
      </c>
      <c r="AC58" s="26">
        <v>45</v>
      </c>
      <c r="AD58" s="26">
        <f t="shared" si="8"/>
        <v>68</v>
      </c>
      <c r="AE58" s="9">
        <v>23</v>
      </c>
      <c r="AF58" s="9">
        <v>22</v>
      </c>
      <c r="AG58" s="9">
        <v>22</v>
      </c>
      <c r="AH58" s="9">
        <v>43</v>
      </c>
      <c r="AI58" s="12">
        <f t="shared" si="0"/>
        <v>732</v>
      </c>
      <c r="AJ58" s="3" t="s">
        <v>333</v>
      </c>
    </row>
    <row r="59" spans="1:36" x14ac:dyDescent="0.3">
      <c r="A59" s="1">
        <v>53</v>
      </c>
      <c r="B59" s="8">
        <v>265034</v>
      </c>
      <c r="C59" s="8">
        <v>24410260170</v>
      </c>
      <c r="D59" s="8" t="s">
        <v>224</v>
      </c>
      <c r="E59" s="9">
        <v>62</v>
      </c>
      <c r="F59" s="9">
        <v>20</v>
      </c>
      <c r="G59" s="97">
        <f t="shared" si="1"/>
        <v>82</v>
      </c>
      <c r="H59" s="100">
        <v>20</v>
      </c>
      <c r="I59" s="100">
        <v>40</v>
      </c>
      <c r="J59" s="99">
        <f t="shared" si="2"/>
        <v>60</v>
      </c>
      <c r="K59" s="9">
        <v>38</v>
      </c>
      <c r="L59" s="95">
        <v>26</v>
      </c>
      <c r="M59" s="9">
        <f t="shared" si="3"/>
        <v>64</v>
      </c>
      <c r="N59" s="10">
        <v>23</v>
      </c>
      <c r="O59" s="9">
        <v>46</v>
      </c>
      <c r="P59" s="9">
        <f t="shared" si="4"/>
        <v>69</v>
      </c>
      <c r="Q59" s="9">
        <v>22</v>
      </c>
      <c r="R59" s="9">
        <v>38</v>
      </c>
      <c r="S59" s="9">
        <v>20</v>
      </c>
      <c r="T59" s="9">
        <f t="shared" si="5"/>
        <v>58</v>
      </c>
      <c r="U59" s="9">
        <v>23</v>
      </c>
      <c r="V59" s="9">
        <v>22</v>
      </c>
      <c r="W59" s="9">
        <f t="shared" si="6"/>
        <v>45</v>
      </c>
      <c r="X59" s="9">
        <v>23</v>
      </c>
      <c r="Y59" s="9">
        <v>35</v>
      </c>
      <c r="Z59" s="26">
        <v>15</v>
      </c>
      <c r="AA59" s="26">
        <f t="shared" si="7"/>
        <v>50</v>
      </c>
      <c r="AB59" s="26">
        <v>23</v>
      </c>
      <c r="AC59" s="26">
        <v>45</v>
      </c>
      <c r="AD59" s="26">
        <f t="shared" si="8"/>
        <v>68</v>
      </c>
      <c r="AE59" s="9">
        <v>23</v>
      </c>
      <c r="AF59" s="9">
        <v>22</v>
      </c>
      <c r="AG59" s="9">
        <v>22</v>
      </c>
      <c r="AH59" s="9">
        <v>44</v>
      </c>
      <c r="AI59" s="12">
        <f t="shared" si="0"/>
        <v>652</v>
      </c>
      <c r="AJ59" s="3" t="s">
        <v>333</v>
      </c>
    </row>
    <row r="60" spans="1:36" x14ac:dyDescent="0.3">
      <c r="A60" s="1">
        <v>54</v>
      </c>
      <c r="B60" s="8">
        <v>265035</v>
      </c>
      <c r="C60" s="8">
        <v>24410260171</v>
      </c>
      <c r="D60" s="8" t="s">
        <v>225</v>
      </c>
      <c r="E60" s="9">
        <v>32</v>
      </c>
      <c r="F60" s="9">
        <v>15</v>
      </c>
      <c r="G60" s="97">
        <f t="shared" si="1"/>
        <v>47</v>
      </c>
      <c r="H60" s="100">
        <v>17</v>
      </c>
      <c r="I60" s="100">
        <v>35</v>
      </c>
      <c r="J60" s="99">
        <f t="shared" si="2"/>
        <v>52</v>
      </c>
      <c r="K60" s="9">
        <v>24</v>
      </c>
      <c r="L60" s="95">
        <v>23</v>
      </c>
      <c r="M60" s="9">
        <f t="shared" si="3"/>
        <v>47</v>
      </c>
      <c r="N60" s="10">
        <v>18</v>
      </c>
      <c r="O60" s="9">
        <v>24</v>
      </c>
      <c r="P60" s="9">
        <f t="shared" si="4"/>
        <v>42</v>
      </c>
      <c r="Q60" s="9">
        <v>18</v>
      </c>
      <c r="R60" s="9">
        <v>8</v>
      </c>
      <c r="S60" s="9">
        <v>14</v>
      </c>
      <c r="T60" s="9">
        <f t="shared" si="5"/>
        <v>22</v>
      </c>
      <c r="U60" s="9">
        <v>18</v>
      </c>
      <c r="V60" s="9">
        <v>20</v>
      </c>
      <c r="W60" s="9">
        <f t="shared" si="6"/>
        <v>38</v>
      </c>
      <c r="X60" s="9">
        <v>22</v>
      </c>
      <c r="Y60" s="9">
        <v>30</v>
      </c>
      <c r="Z60" s="26">
        <v>20</v>
      </c>
      <c r="AA60" s="26">
        <f t="shared" si="7"/>
        <v>50</v>
      </c>
      <c r="AB60" s="26">
        <v>19</v>
      </c>
      <c r="AC60" s="26">
        <v>30</v>
      </c>
      <c r="AD60" s="26">
        <f t="shared" si="8"/>
        <v>49</v>
      </c>
      <c r="AE60" s="9">
        <v>19</v>
      </c>
      <c r="AF60" s="9">
        <v>22</v>
      </c>
      <c r="AG60" s="9">
        <v>22</v>
      </c>
      <c r="AH60" s="9">
        <v>40</v>
      </c>
      <c r="AI60" s="12">
        <f t="shared" si="0"/>
        <v>490</v>
      </c>
      <c r="AJ60" s="3" t="s">
        <v>327</v>
      </c>
    </row>
    <row r="61" spans="1:36" x14ac:dyDescent="0.3">
      <c r="A61" s="1">
        <v>55</v>
      </c>
      <c r="B61" s="8">
        <v>265036</v>
      </c>
      <c r="C61" s="8">
        <v>24410260172</v>
      </c>
      <c r="D61" s="8" t="s">
        <v>226</v>
      </c>
      <c r="E61" s="9">
        <v>46</v>
      </c>
      <c r="F61" s="9">
        <v>15</v>
      </c>
      <c r="G61" s="97">
        <f t="shared" si="1"/>
        <v>61</v>
      </c>
      <c r="H61" s="100">
        <v>20</v>
      </c>
      <c r="I61" s="100">
        <v>40</v>
      </c>
      <c r="J61" s="99">
        <f t="shared" si="2"/>
        <v>60</v>
      </c>
      <c r="K61" s="9">
        <v>43</v>
      </c>
      <c r="L61" s="95">
        <v>18</v>
      </c>
      <c r="M61" s="9">
        <f t="shared" si="3"/>
        <v>61</v>
      </c>
      <c r="N61" s="10">
        <v>21</v>
      </c>
      <c r="O61" s="9">
        <v>42</v>
      </c>
      <c r="P61" s="9">
        <f t="shared" si="4"/>
        <v>63</v>
      </c>
      <c r="Q61" s="9">
        <v>18</v>
      </c>
      <c r="R61" s="9">
        <v>31</v>
      </c>
      <c r="S61" s="9">
        <v>16</v>
      </c>
      <c r="T61" s="9">
        <f t="shared" si="5"/>
        <v>47</v>
      </c>
      <c r="U61" s="9">
        <v>20</v>
      </c>
      <c r="V61" s="9">
        <v>18</v>
      </c>
      <c r="W61" s="9">
        <f t="shared" si="6"/>
        <v>38</v>
      </c>
      <c r="X61" s="9">
        <v>22</v>
      </c>
      <c r="Y61" s="9">
        <v>30</v>
      </c>
      <c r="Z61" s="26">
        <v>10</v>
      </c>
      <c r="AA61" s="26">
        <f t="shared" si="7"/>
        <v>40</v>
      </c>
      <c r="AB61" s="26">
        <v>21</v>
      </c>
      <c r="AC61" s="26">
        <v>42</v>
      </c>
      <c r="AD61" s="26">
        <f t="shared" si="8"/>
        <v>63</v>
      </c>
      <c r="AE61" s="9">
        <v>21</v>
      </c>
      <c r="AF61" s="9">
        <v>22</v>
      </c>
      <c r="AG61" s="10">
        <v>22</v>
      </c>
      <c r="AH61" s="9">
        <v>42</v>
      </c>
      <c r="AI61" s="12">
        <f t="shared" si="0"/>
        <v>580</v>
      </c>
      <c r="AJ61" s="3" t="s">
        <v>332</v>
      </c>
    </row>
    <row r="62" spans="1:36" x14ac:dyDescent="0.3">
      <c r="A62" s="1">
        <v>56</v>
      </c>
      <c r="B62" s="8">
        <v>265037</v>
      </c>
      <c r="C62" s="8">
        <v>24410260173</v>
      </c>
      <c r="D62" s="8" t="s">
        <v>227</v>
      </c>
      <c r="E62" s="9">
        <v>58</v>
      </c>
      <c r="F62" s="9">
        <v>24</v>
      </c>
      <c r="G62" s="97">
        <f t="shared" si="1"/>
        <v>82</v>
      </c>
      <c r="H62" s="101">
        <v>24</v>
      </c>
      <c r="I62" s="101">
        <v>49</v>
      </c>
      <c r="J62" s="99">
        <f t="shared" si="2"/>
        <v>73</v>
      </c>
      <c r="K62" s="9">
        <v>55</v>
      </c>
      <c r="L62" s="95">
        <v>25</v>
      </c>
      <c r="M62" s="9">
        <f t="shared" si="3"/>
        <v>80</v>
      </c>
      <c r="N62" s="10">
        <v>23</v>
      </c>
      <c r="O62" s="9">
        <v>49</v>
      </c>
      <c r="P62" s="9">
        <f t="shared" si="4"/>
        <v>72</v>
      </c>
      <c r="Q62" s="9">
        <v>22</v>
      </c>
      <c r="R62" s="9">
        <v>38</v>
      </c>
      <c r="S62" s="9">
        <v>23</v>
      </c>
      <c r="T62" s="9">
        <f t="shared" si="5"/>
        <v>61</v>
      </c>
      <c r="U62" s="9">
        <v>22</v>
      </c>
      <c r="V62" s="9">
        <v>23</v>
      </c>
      <c r="W62" s="9">
        <f t="shared" si="6"/>
        <v>45</v>
      </c>
      <c r="X62" s="9">
        <v>24</v>
      </c>
      <c r="Y62" s="9">
        <v>39</v>
      </c>
      <c r="Z62" s="26">
        <v>11</v>
      </c>
      <c r="AA62" s="26">
        <f t="shared" si="7"/>
        <v>50</v>
      </c>
      <c r="AB62" s="26">
        <v>23</v>
      </c>
      <c r="AC62" s="26">
        <v>48</v>
      </c>
      <c r="AD62" s="26">
        <f t="shared" si="8"/>
        <v>71</v>
      </c>
      <c r="AE62" s="9">
        <v>24</v>
      </c>
      <c r="AF62" s="9">
        <v>22</v>
      </c>
      <c r="AG62" s="10">
        <v>22</v>
      </c>
      <c r="AH62" s="9">
        <v>45</v>
      </c>
      <c r="AI62" s="12">
        <f t="shared" si="0"/>
        <v>693</v>
      </c>
      <c r="AJ62" s="3" t="s">
        <v>333</v>
      </c>
    </row>
    <row r="63" spans="1:36" x14ac:dyDescent="0.3">
      <c r="A63" s="1">
        <v>57</v>
      </c>
      <c r="B63" s="8">
        <v>265038</v>
      </c>
      <c r="C63" s="8">
        <v>24410260174</v>
      </c>
      <c r="D63" s="8" t="s">
        <v>228</v>
      </c>
      <c r="E63" s="9">
        <v>40</v>
      </c>
      <c r="F63" s="9">
        <v>17</v>
      </c>
      <c r="G63" s="97">
        <f t="shared" si="1"/>
        <v>57</v>
      </c>
      <c r="H63" s="100">
        <v>20</v>
      </c>
      <c r="I63" s="100">
        <v>40</v>
      </c>
      <c r="J63" s="99">
        <f t="shared" si="2"/>
        <v>60</v>
      </c>
      <c r="K63" s="9">
        <v>37</v>
      </c>
      <c r="L63" s="95">
        <v>23</v>
      </c>
      <c r="M63" s="9">
        <f t="shared" si="3"/>
        <v>60</v>
      </c>
      <c r="N63" s="10">
        <v>20</v>
      </c>
      <c r="O63" s="9">
        <v>41</v>
      </c>
      <c r="P63" s="9">
        <f t="shared" si="4"/>
        <v>61</v>
      </c>
      <c r="Q63" s="9">
        <v>20</v>
      </c>
      <c r="R63" s="9">
        <v>15</v>
      </c>
      <c r="S63" s="9">
        <v>16</v>
      </c>
      <c r="T63" s="9">
        <f t="shared" si="5"/>
        <v>31</v>
      </c>
      <c r="U63" s="9">
        <v>19</v>
      </c>
      <c r="V63" s="9">
        <v>22</v>
      </c>
      <c r="W63" s="9">
        <f t="shared" si="6"/>
        <v>41</v>
      </c>
      <c r="X63" s="9">
        <v>22</v>
      </c>
      <c r="Y63" s="9">
        <v>28</v>
      </c>
      <c r="Z63" s="26">
        <v>18</v>
      </c>
      <c r="AA63" s="26">
        <f t="shared" si="7"/>
        <v>46</v>
      </c>
      <c r="AB63" s="26">
        <v>20</v>
      </c>
      <c r="AC63" s="26">
        <v>41</v>
      </c>
      <c r="AD63" s="26">
        <f t="shared" si="8"/>
        <v>61</v>
      </c>
      <c r="AE63" s="9">
        <v>21</v>
      </c>
      <c r="AF63" s="9">
        <v>22</v>
      </c>
      <c r="AG63" s="9">
        <v>22</v>
      </c>
      <c r="AH63" s="9">
        <v>44</v>
      </c>
      <c r="AI63" s="12">
        <f t="shared" si="0"/>
        <v>568</v>
      </c>
      <c r="AJ63" s="3" t="s">
        <v>334</v>
      </c>
    </row>
    <row r="64" spans="1:36" x14ac:dyDescent="0.3">
      <c r="A64" s="1">
        <v>58</v>
      </c>
      <c r="B64" s="8">
        <v>265039</v>
      </c>
      <c r="C64" s="8">
        <v>24410260175</v>
      </c>
      <c r="D64" s="8" t="s">
        <v>229</v>
      </c>
      <c r="E64" s="9">
        <v>25</v>
      </c>
      <c r="F64" s="9">
        <v>15</v>
      </c>
      <c r="G64" s="97">
        <f t="shared" si="1"/>
        <v>40</v>
      </c>
      <c r="H64" s="100">
        <v>17</v>
      </c>
      <c r="I64" s="100">
        <v>35</v>
      </c>
      <c r="J64" s="99">
        <f t="shared" si="2"/>
        <v>52</v>
      </c>
      <c r="K64" s="9">
        <v>30</v>
      </c>
      <c r="L64" s="95">
        <v>15</v>
      </c>
      <c r="M64" s="9">
        <f t="shared" si="3"/>
        <v>45</v>
      </c>
      <c r="N64" s="43">
        <v>20</v>
      </c>
      <c r="O64" s="9">
        <v>41</v>
      </c>
      <c r="P64" s="9">
        <f t="shared" si="4"/>
        <v>61</v>
      </c>
      <c r="Q64" s="9">
        <v>20</v>
      </c>
      <c r="R64" s="9">
        <v>29</v>
      </c>
      <c r="S64" s="9">
        <v>14</v>
      </c>
      <c r="T64" s="9">
        <f t="shared" si="5"/>
        <v>43</v>
      </c>
      <c r="U64" s="9">
        <v>19</v>
      </c>
      <c r="V64" s="9">
        <v>20</v>
      </c>
      <c r="W64" s="9">
        <f t="shared" si="6"/>
        <v>39</v>
      </c>
      <c r="X64" s="9">
        <v>20</v>
      </c>
      <c r="Y64" s="9">
        <v>29</v>
      </c>
      <c r="Z64" s="26">
        <v>15</v>
      </c>
      <c r="AA64" s="26">
        <f t="shared" si="7"/>
        <v>44</v>
      </c>
      <c r="AB64" s="26">
        <v>19</v>
      </c>
      <c r="AC64" s="26">
        <v>40</v>
      </c>
      <c r="AD64" s="26">
        <f t="shared" si="8"/>
        <v>59</v>
      </c>
      <c r="AE64" s="9">
        <v>19</v>
      </c>
      <c r="AF64" s="9">
        <v>22</v>
      </c>
      <c r="AG64" s="9">
        <v>22</v>
      </c>
      <c r="AH64" s="9">
        <v>41</v>
      </c>
      <c r="AI64" s="12">
        <f t="shared" si="0"/>
        <v>527</v>
      </c>
      <c r="AJ64" s="3" t="s">
        <v>332</v>
      </c>
    </row>
    <row r="65" spans="1:36" x14ac:dyDescent="0.3">
      <c r="A65" s="1">
        <v>59</v>
      </c>
      <c r="B65" s="8">
        <v>265040</v>
      </c>
      <c r="C65" s="8">
        <v>24410260176</v>
      </c>
      <c r="D65" s="8" t="s">
        <v>230</v>
      </c>
      <c r="E65" s="9">
        <v>50</v>
      </c>
      <c r="F65" s="9">
        <v>6</v>
      </c>
      <c r="G65" s="97">
        <f t="shared" si="1"/>
        <v>56</v>
      </c>
      <c r="H65" s="100">
        <v>19</v>
      </c>
      <c r="I65" s="100">
        <v>38</v>
      </c>
      <c r="J65" s="99">
        <f t="shared" si="2"/>
        <v>57</v>
      </c>
      <c r="K65" s="9">
        <v>30</v>
      </c>
      <c r="L65" s="95">
        <v>11</v>
      </c>
      <c r="M65" s="9">
        <f t="shared" si="3"/>
        <v>41</v>
      </c>
      <c r="N65" s="10">
        <v>20</v>
      </c>
      <c r="O65" s="9">
        <v>36</v>
      </c>
      <c r="P65" s="9">
        <f t="shared" si="4"/>
        <v>56</v>
      </c>
      <c r="Q65" s="9">
        <v>20</v>
      </c>
      <c r="R65" s="9">
        <v>20</v>
      </c>
      <c r="S65" s="9">
        <v>10</v>
      </c>
      <c r="T65" s="9">
        <f t="shared" si="5"/>
        <v>30</v>
      </c>
      <c r="U65" s="9">
        <v>19</v>
      </c>
      <c r="V65" s="9">
        <v>22</v>
      </c>
      <c r="W65" s="9">
        <f t="shared" si="6"/>
        <v>41</v>
      </c>
      <c r="X65" s="9">
        <v>23</v>
      </c>
      <c r="Y65" s="9">
        <v>28</v>
      </c>
      <c r="Z65" s="26">
        <v>7</v>
      </c>
      <c r="AA65" s="26">
        <f t="shared" si="7"/>
        <v>35</v>
      </c>
      <c r="AB65" s="26">
        <v>20</v>
      </c>
      <c r="AC65" s="26">
        <v>36</v>
      </c>
      <c r="AD65" s="26">
        <f t="shared" si="8"/>
        <v>56</v>
      </c>
      <c r="AE65" s="9">
        <v>20</v>
      </c>
      <c r="AF65" s="9">
        <v>21</v>
      </c>
      <c r="AG65" s="9">
        <v>21</v>
      </c>
      <c r="AH65" s="9">
        <v>41</v>
      </c>
      <c r="AI65" s="12">
        <f t="shared" si="0"/>
        <v>518</v>
      </c>
      <c r="AJ65" s="3" t="s">
        <v>327</v>
      </c>
    </row>
    <row r="66" spans="1:36" x14ac:dyDescent="0.3">
      <c r="A66" s="1">
        <v>60</v>
      </c>
      <c r="B66" s="8">
        <v>265041</v>
      </c>
      <c r="C66" s="8">
        <v>24410260177</v>
      </c>
      <c r="D66" s="8" t="s">
        <v>231</v>
      </c>
      <c r="E66" s="9">
        <v>57</v>
      </c>
      <c r="F66" s="9">
        <v>17</v>
      </c>
      <c r="G66" s="97">
        <f t="shared" si="1"/>
        <v>74</v>
      </c>
      <c r="H66" s="100">
        <v>20</v>
      </c>
      <c r="I66" s="100">
        <v>40</v>
      </c>
      <c r="J66" s="99">
        <f t="shared" si="2"/>
        <v>60</v>
      </c>
      <c r="K66" s="9">
        <v>44</v>
      </c>
      <c r="L66" s="95">
        <v>23</v>
      </c>
      <c r="M66" s="9">
        <f t="shared" si="3"/>
        <v>67</v>
      </c>
      <c r="N66" s="10">
        <v>23</v>
      </c>
      <c r="O66" s="9">
        <v>45</v>
      </c>
      <c r="P66" s="9">
        <f t="shared" si="4"/>
        <v>68</v>
      </c>
      <c r="Q66" s="9">
        <v>22</v>
      </c>
      <c r="R66" s="9">
        <v>29</v>
      </c>
      <c r="S66" s="9">
        <v>19</v>
      </c>
      <c r="T66" s="9">
        <f t="shared" si="5"/>
        <v>48</v>
      </c>
      <c r="U66" s="9">
        <v>21</v>
      </c>
      <c r="V66" s="9">
        <v>23</v>
      </c>
      <c r="W66" s="9">
        <f t="shared" si="6"/>
        <v>44</v>
      </c>
      <c r="X66" s="9">
        <v>22</v>
      </c>
      <c r="Y66" s="9">
        <v>37</v>
      </c>
      <c r="Z66" s="26">
        <v>10</v>
      </c>
      <c r="AA66" s="26">
        <f t="shared" si="7"/>
        <v>47</v>
      </c>
      <c r="AB66" s="26">
        <v>21</v>
      </c>
      <c r="AC66" s="26">
        <v>45</v>
      </c>
      <c r="AD66" s="26">
        <f t="shared" si="8"/>
        <v>66</v>
      </c>
      <c r="AE66" s="9">
        <v>22</v>
      </c>
      <c r="AF66" s="9">
        <v>22</v>
      </c>
      <c r="AG66" s="9">
        <v>22</v>
      </c>
      <c r="AH66" s="9">
        <v>43</v>
      </c>
      <c r="AI66" s="12">
        <f t="shared" si="0"/>
        <v>627</v>
      </c>
      <c r="AJ66" s="3" t="s">
        <v>332</v>
      </c>
    </row>
    <row r="67" spans="1:36" x14ac:dyDescent="0.3">
      <c r="A67" s="1">
        <v>61</v>
      </c>
      <c r="B67" s="8">
        <v>265042</v>
      </c>
      <c r="C67" s="8">
        <v>24410260178</v>
      </c>
      <c r="D67" s="8" t="s">
        <v>232</v>
      </c>
      <c r="E67" s="9">
        <v>52</v>
      </c>
      <c r="F67" s="9">
        <v>2</v>
      </c>
      <c r="G67" s="97">
        <f t="shared" si="1"/>
        <v>54</v>
      </c>
      <c r="H67" s="100">
        <v>17</v>
      </c>
      <c r="I67" s="100">
        <v>35</v>
      </c>
      <c r="J67" s="99">
        <f t="shared" si="2"/>
        <v>52</v>
      </c>
      <c r="K67" s="9">
        <v>21</v>
      </c>
      <c r="L67" s="95">
        <v>7</v>
      </c>
      <c r="M67" s="9">
        <f t="shared" si="3"/>
        <v>28</v>
      </c>
      <c r="N67" s="10">
        <v>21</v>
      </c>
      <c r="O67" s="9">
        <v>40</v>
      </c>
      <c r="P67" s="9">
        <f t="shared" si="4"/>
        <v>61</v>
      </c>
      <c r="Q67" s="9">
        <v>21</v>
      </c>
      <c r="R67" s="9">
        <v>15</v>
      </c>
      <c r="S67" s="9">
        <v>8</v>
      </c>
      <c r="T67" s="9">
        <f t="shared" si="5"/>
        <v>23</v>
      </c>
      <c r="U67" s="9">
        <v>19</v>
      </c>
      <c r="V67" s="9">
        <v>21</v>
      </c>
      <c r="W67" s="9">
        <f t="shared" si="6"/>
        <v>40</v>
      </c>
      <c r="X67" s="9">
        <v>20</v>
      </c>
      <c r="Y67" s="9">
        <v>29</v>
      </c>
      <c r="Z67" s="26">
        <v>5</v>
      </c>
      <c r="AA67" s="26">
        <f t="shared" si="7"/>
        <v>34</v>
      </c>
      <c r="AB67" s="26">
        <v>20</v>
      </c>
      <c r="AC67" s="26">
        <v>40</v>
      </c>
      <c r="AD67" s="26">
        <f t="shared" si="8"/>
        <v>60</v>
      </c>
      <c r="AE67" s="9">
        <v>21</v>
      </c>
      <c r="AF67" s="9">
        <v>20</v>
      </c>
      <c r="AG67" s="9">
        <v>21</v>
      </c>
      <c r="AH67" s="9">
        <v>40</v>
      </c>
      <c r="AI67" s="12">
        <f t="shared" si="0"/>
        <v>495</v>
      </c>
      <c r="AJ67" s="3" t="s">
        <v>325</v>
      </c>
    </row>
    <row r="68" spans="1:36" x14ac:dyDescent="0.3">
      <c r="A68" s="1">
        <v>62</v>
      </c>
      <c r="B68" s="8">
        <v>265043</v>
      </c>
      <c r="C68" s="8">
        <v>24410260179</v>
      </c>
      <c r="D68" s="8" t="s">
        <v>233</v>
      </c>
      <c r="E68" s="9">
        <v>58</v>
      </c>
      <c r="F68" s="9">
        <v>14</v>
      </c>
      <c r="G68" s="97">
        <f t="shared" si="1"/>
        <v>72</v>
      </c>
      <c r="H68" s="100">
        <v>21</v>
      </c>
      <c r="I68" s="100">
        <v>42</v>
      </c>
      <c r="J68" s="99">
        <f t="shared" si="2"/>
        <v>63</v>
      </c>
      <c r="K68" s="9">
        <v>34</v>
      </c>
      <c r="L68" s="95">
        <v>11</v>
      </c>
      <c r="M68" s="9">
        <f t="shared" si="3"/>
        <v>45</v>
      </c>
      <c r="N68" s="10">
        <v>21</v>
      </c>
      <c r="O68" s="9">
        <v>43</v>
      </c>
      <c r="P68" s="9">
        <f t="shared" si="4"/>
        <v>64</v>
      </c>
      <c r="Q68" s="9">
        <v>21</v>
      </c>
      <c r="R68" s="9">
        <v>30</v>
      </c>
      <c r="S68" s="9">
        <v>10</v>
      </c>
      <c r="T68" s="9">
        <f t="shared" si="5"/>
        <v>40</v>
      </c>
      <c r="U68" s="9">
        <v>20</v>
      </c>
      <c r="V68" s="9">
        <v>20</v>
      </c>
      <c r="W68" s="9">
        <f t="shared" si="6"/>
        <v>40</v>
      </c>
      <c r="X68" s="9">
        <v>21</v>
      </c>
      <c r="Y68" s="9">
        <v>36</v>
      </c>
      <c r="Z68" s="26">
        <v>11</v>
      </c>
      <c r="AA68" s="26">
        <f t="shared" si="7"/>
        <v>47</v>
      </c>
      <c r="AB68" s="26">
        <v>20</v>
      </c>
      <c r="AC68" s="26">
        <v>43</v>
      </c>
      <c r="AD68" s="26">
        <f t="shared" si="8"/>
        <v>63</v>
      </c>
      <c r="AE68" s="9">
        <v>21</v>
      </c>
      <c r="AF68" s="9">
        <v>21</v>
      </c>
      <c r="AG68" s="9">
        <v>21</v>
      </c>
      <c r="AH68" s="9">
        <v>40</v>
      </c>
      <c r="AI68" s="12">
        <f t="shared" si="0"/>
        <v>579</v>
      </c>
      <c r="AJ68" s="3" t="s">
        <v>332</v>
      </c>
    </row>
    <row r="69" spans="1:36" x14ac:dyDescent="0.3">
      <c r="A69" s="1">
        <v>63</v>
      </c>
      <c r="B69" s="8">
        <v>265046</v>
      </c>
      <c r="C69" s="8">
        <v>24410260255</v>
      </c>
      <c r="D69" s="8" t="s">
        <v>237</v>
      </c>
      <c r="E69" s="9">
        <v>53</v>
      </c>
      <c r="F69" s="9">
        <v>20</v>
      </c>
      <c r="G69" s="97">
        <f t="shared" si="1"/>
        <v>73</v>
      </c>
      <c r="H69" s="100">
        <v>20</v>
      </c>
      <c r="I69" s="100">
        <v>40</v>
      </c>
      <c r="J69" s="99">
        <f t="shared" si="2"/>
        <v>60</v>
      </c>
      <c r="K69" s="9">
        <v>38</v>
      </c>
      <c r="L69" s="95">
        <v>19</v>
      </c>
      <c r="M69" s="9">
        <f t="shared" si="3"/>
        <v>57</v>
      </c>
      <c r="N69" s="10">
        <v>20</v>
      </c>
      <c r="O69" s="9">
        <v>40</v>
      </c>
      <c r="P69" s="9">
        <f t="shared" si="4"/>
        <v>60</v>
      </c>
      <c r="Q69" s="9">
        <v>20</v>
      </c>
      <c r="R69" s="9">
        <v>32</v>
      </c>
      <c r="S69" s="9">
        <v>15</v>
      </c>
      <c r="T69" s="9">
        <f t="shared" si="5"/>
        <v>47</v>
      </c>
      <c r="U69" s="9">
        <v>21</v>
      </c>
      <c r="V69" s="9">
        <v>20</v>
      </c>
      <c r="W69" s="9">
        <f t="shared" si="6"/>
        <v>41</v>
      </c>
      <c r="X69" s="9">
        <v>21</v>
      </c>
      <c r="Y69" s="9">
        <v>27</v>
      </c>
      <c r="Z69" s="26">
        <v>13</v>
      </c>
      <c r="AA69" s="26">
        <f t="shared" si="7"/>
        <v>40</v>
      </c>
      <c r="AB69" s="26">
        <v>21</v>
      </c>
      <c r="AC69" s="26">
        <v>40</v>
      </c>
      <c r="AD69" s="26">
        <f t="shared" si="8"/>
        <v>61</v>
      </c>
      <c r="AE69" s="9">
        <v>20</v>
      </c>
      <c r="AF69" s="9">
        <v>22</v>
      </c>
      <c r="AG69" s="9">
        <v>22</v>
      </c>
      <c r="AH69" s="9">
        <v>42</v>
      </c>
      <c r="AI69" s="12">
        <f t="shared" si="0"/>
        <v>586</v>
      </c>
      <c r="AJ69" s="3" t="s">
        <v>332</v>
      </c>
    </row>
    <row r="70" spans="1:36" x14ac:dyDescent="0.3">
      <c r="A70" s="1">
        <v>64</v>
      </c>
      <c r="B70" s="8">
        <v>265047</v>
      </c>
      <c r="C70" s="8">
        <v>24410260278</v>
      </c>
      <c r="D70" s="8" t="s">
        <v>238</v>
      </c>
      <c r="E70" s="9">
        <v>57</v>
      </c>
      <c r="F70" s="9">
        <v>19</v>
      </c>
      <c r="G70" s="97">
        <f t="shared" si="1"/>
        <v>76</v>
      </c>
      <c r="H70" s="100">
        <v>20</v>
      </c>
      <c r="I70" s="100">
        <v>40</v>
      </c>
      <c r="J70" s="99">
        <f t="shared" si="2"/>
        <v>60</v>
      </c>
      <c r="K70" s="9">
        <v>46</v>
      </c>
      <c r="L70" s="95">
        <v>24</v>
      </c>
      <c r="M70" s="9">
        <f t="shared" si="3"/>
        <v>70</v>
      </c>
      <c r="N70" s="10">
        <v>22</v>
      </c>
      <c r="O70" s="9">
        <v>45</v>
      </c>
      <c r="P70" s="9">
        <f t="shared" si="4"/>
        <v>67</v>
      </c>
      <c r="Q70" s="9">
        <v>22</v>
      </c>
      <c r="R70" s="9">
        <v>45</v>
      </c>
      <c r="S70" s="9">
        <v>18</v>
      </c>
      <c r="T70" s="9">
        <f t="shared" si="5"/>
        <v>63</v>
      </c>
      <c r="U70" s="9">
        <v>22</v>
      </c>
      <c r="V70" s="9">
        <v>22</v>
      </c>
      <c r="W70" s="9">
        <f t="shared" si="6"/>
        <v>44</v>
      </c>
      <c r="X70" s="9">
        <v>22</v>
      </c>
      <c r="Y70" s="9">
        <v>49</v>
      </c>
      <c r="Z70" s="26">
        <v>16</v>
      </c>
      <c r="AA70" s="26">
        <f t="shared" si="7"/>
        <v>65</v>
      </c>
      <c r="AB70" s="26">
        <v>22</v>
      </c>
      <c r="AC70" s="26">
        <v>45</v>
      </c>
      <c r="AD70" s="26">
        <f t="shared" si="8"/>
        <v>67</v>
      </c>
      <c r="AE70" s="9">
        <v>22</v>
      </c>
      <c r="AF70" s="9">
        <v>22</v>
      </c>
      <c r="AG70" s="9">
        <v>22</v>
      </c>
      <c r="AH70" s="9">
        <v>42</v>
      </c>
      <c r="AI70" s="12">
        <f t="shared" si="0"/>
        <v>664</v>
      </c>
      <c r="AJ70" s="3" t="s">
        <v>333</v>
      </c>
    </row>
    <row r="71" spans="1:36" x14ac:dyDescent="0.3">
      <c r="A71" s="1">
        <v>65</v>
      </c>
      <c r="B71" s="8">
        <v>265048</v>
      </c>
      <c r="C71" s="8">
        <v>24410260285</v>
      </c>
      <c r="D71" s="8" t="s">
        <v>245</v>
      </c>
      <c r="E71" s="9">
        <v>46</v>
      </c>
      <c r="F71" s="9">
        <v>15</v>
      </c>
      <c r="G71" s="97">
        <f t="shared" si="1"/>
        <v>61</v>
      </c>
      <c r="H71" s="100">
        <v>19</v>
      </c>
      <c r="I71" s="100">
        <v>39</v>
      </c>
      <c r="J71" s="99">
        <f t="shared" si="2"/>
        <v>58</v>
      </c>
      <c r="K71" s="9">
        <v>40</v>
      </c>
      <c r="L71" s="95">
        <v>9</v>
      </c>
      <c r="M71" s="9">
        <f t="shared" si="3"/>
        <v>49</v>
      </c>
      <c r="N71" s="10">
        <v>21</v>
      </c>
      <c r="O71" s="9">
        <v>39</v>
      </c>
      <c r="P71" s="9">
        <f t="shared" si="4"/>
        <v>60</v>
      </c>
      <c r="Q71" s="9">
        <v>20</v>
      </c>
      <c r="R71" s="9">
        <v>40</v>
      </c>
      <c r="S71" s="9">
        <v>16</v>
      </c>
      <c r="T71" s="9">
        <f t="shared" si="5"/>
        <v>56</v>
      </c>
      <c r="U71" s="9">
        <v>21</v>
      </c>
      <c r="V71" s="9">
        <v>21</v>
      </c>
      <c r="W71" s="9">
        <f t="shared" si="6"/>
        <v>42</v>
      </c>
      <c r="X71" s="9">
        <v>23</v>
      </c>
      <c r="Y71" s="9">
        <v>40</v>
      </c>
      <c r="Z71" s="26">
        <v>8</v>
      </c>
      <c r="AA71" s="26">
        <f t="shared" si="7"/>
        <v>48</v>
      </c>
      <c r="AB71" s="26">
        <v>21</v>
      </c>
      <c r="AC71" s="26">
        <v>39</v>
      </c>
      <c r="AD71" s="26">
        <f t="shared" si="8"/>
        <v>60</v>
      </c>
      <c r="AE71" s="9">
        <v>21</v>
      </c>
      <c r="AF71" s="9">
        <v>22</v>
      </c>
      <c r="AG71" s="9">
        <v>22</v>
      </c>
      <c r="AH71" s="9">
        <v>40</v>
      </c>
      <c r="AI71" s="12">
        <f t="shared" si="0"/>
        <v>582</v>
      </c>
      <c r="AJ71" s="3" t="s">
        <v>332</v>
      </c>
    </row>
    <row r="72" spans="1:36" x14ac:dyDescent="0.3">
      <c r="A72" s="1">
        <v>66</v>
      </c>
      <c r="B72" s="8">
        <v>488082</v>
      </c>
      <c r="C72" s="8">
        <v>25410260111</v>
      </c>
      <c r="D72" s="8" t="s">
        <v>239</v>
      </c>
      <c r="E72" s="9">
        <v>44</v>
      </c>
      <c r="F72" s="9">
        <v>16</v>
      </c>
      <c r="G72" s="97">
        <f t="shared" si="1"/>
        <v>60</v>
      </c>
      <c r="H72" s="100">
        <v>19</v>
      </c>
      <c r="I72" s="100">
        <v>38</v>
      </c>
      <c r="J72" s="99">
        <f t="shared" si="2"/>
        <v>57</v>
      </c>
      <c r="K72" s="9">
        <v>25</v>
      </c>
      <c r="L72" s="95">
        <v>16</v>
      </c>
      <c r="M72" s="9">
        <f t="shared" si="3"/>
        <v>41</v>
      </c>
      <c r="N72" s="10">
        <v>20</v>
      </c>
      <c r="O72" s="9">
        <v>38</v>
      </c>
      <c r="P72" s="9">
        <f t="shared" si="4"/>
        <v>58</v>
      </c>
      <c r="Q72" s="9">
        <v>20</v>
      </c>
      <c r="R72" s="9">
        <v>31</v>
      </c>
      <c r="S72" s="9">
        <v>20</v>
      </c>
      <c r="T72" s="9">
        <f t="shared" si="5"/>
        <v>51</v>
      </c>
      <c r="U72" s="9">
        <v>22</v>
      </c>
      <c r="V72" s="9">
        <v>22</v>
      </c>
      <c r="W72" s="9">
        <f t="shared" si="6"/>
        <v>44</v>
      </c>
      <c r="X72" s="9">
        <v>21</v>
      </c>
      <c r="Y72" s="9">
        <v>7</v>
      </c>
      <c r="Z72" s="26">
        <v>12</v>
      </c>
      <c r="AA72" s="26">
        <f t="shared" si="7"/>
        <v>19</v>
      </c>
      <c r="AB72" s="26">
        <v>21</v>
      </c>
      <c r="AC72" s="26">
        <v>38</v>
      </c>
      <c r="AD72" s="26">
        <f t="shared" si="8"/>
        <v>59</v>
      </c>
      <c r="AE72" s="9">
        <v>20</v>
      </c>
      <c r="AF72" s="9">
        <v>22</v>
      </c>
      <c r="AG72" s="9">
        <v>22</v>
      </c>
      <c r="AH72" s="9">
        <v>40</v>
      </c>
      <c r="AI72" s="12">
        <f t="shared" ref="AI72:AI77" si="9">SUM(G72,J72,M72,P72,Q72,T72,W72,AA72,AD72,AE72,AF72,AG72,AH72,X72)</f>
        <v>534</v>
      </c>
      <c r="AJ72" s="3" t="s">
        <v>327</v>
      </c>
    </row>
    <row r="73" spans="1:36" x14ac:dyDescent="0.3">
      <c r="A73" s="1">
        <v>67</v>
      </c>
      <c r="B73" s="8">
        <v>488083</v>
      </c>
      <c r="C73" s="8">
        <v>25410260112</v>
      </c>
      <c r="D73" s="8" t="s">
        <v>240</v>
      </c>
      <c r="E73" s="9">
        <v>9</v>
      </c>
      <c r="F73" s="9">
        <v>11</v>
      </c>
      <c r="G73" s="97">
        <f t="shared" ref="G73:G77" si="10">SUM(E73,F73)</f>
        <v>20</v>
      </c>
      <c r="H73" s="100">
        <v>17</v>
      </c>
      <c r="I73" s="100">
        <v>35</v>
      </c>
      <c r="J73" s="99">
        <f t="shared" ref="J73:J77" si="11">SUM(H73,I73)</f>
        <v>52</v>
      </c>
      <c r="K73" s="9">
        <v>25</v>
      </c>
      <c r="L73" s="95">
        <v>9</v>
      </c>
      <c r="M73" s="9">
        <f t="shared" ref="M73:M77" si="12">SUM(K73,L73)</f>
        <v>34</v>
      </c>
      <c r="N73" s="10">
        <v>18</v>
      </c>
      <c r="O73" s="9">
        <v>27</v>
      </c>
      <c r="P73" s="9">
        <f t="shared" ref="P73:P77" si="13">SUM(N73,O73)</f>
        <v>45</v>
      </c>
      <c r="Q73" s="9">
        <v>18</v>
      </c>
      <c r="R73" s="9">
        <v>14</v>
      </c>
      <c r="S73" s="9">
        <v>10</v>
      </c>
      <c r="T73" s="9">
        <f t="shared" ref="T73:T77" si="14">SUM(R73,S73)</f>
        <v>24</v>
      </c>
      <c r="U73" s="9">
        <v>21</v>
      </c>
      <c r="V73" s="9">
        <v>20</v>
      </c>
      <c r="W73" s="9">
        <f t="shared" ref="W73:W77" si="15">SUM(U73,V73)</f>
        <v>41</v>
      </c>
      <c r="X73" s="9">
        <v>19</v>
      </c>
      <c r="Y73" s="9">
        <v>14</v>
      </c>
      <c r="Z73" s="26">
        <v>9</v>
      </c>
      <c r="AA73" s="26">
        <f t="shared" ref="AA73:AA77" si="16">SUM(Y73,Z73)</f>
        <v>23</v>
      </c>
      <c r="AB73" s="26">
        <v>19</v>
      </c>
      <c r="AC73" s="26">
        <v>30</v>
      </c>
      <c r="AD73" s="26">
        <f t="shared" ref="AD73:AD77" si="17">SUM(AB73,AC73)</f>
        <v>49</v>
      </c>
      <c r="AE73" s="9">
        <v>19</v>
      </c>
      <c r="AF73" s="9">
        <v>21</v>
      </c>
      <c r="AG73" s="9">
        <v>21</v>
      </c>
      <c r="AH73" s="9">
        <v>30</v>
      </c>
      <c r="AI73" s="12">
        <f t="shared" si="9"/>
        <v>416</v>
      </c>
      <c r="AJ73" s="3" t="s">
        <v>325</v>
      </c>
    </row>
    <row r="74" spans="1:36" x14ac:dyDescent="0.3">
      <c r="A74" s="1">
        <v>68</v>
      </c>
      <c r="B74" s="8">
        <v>488084</v>
      </c>
      <c r="C74" s="8">
        <v>25410260113</v>
      </c>
      <c r="D74" s="8" t="s">
        <v>241</v>
      </c>
      <c r="E74" s="9">
        <v>20</v>
      </c>
      <c r="F74" s="9">
        <v>10</v>
      </c>
      <c r="G74" s="97">
        <f t="shared" si="10"/>
        <v>30</v>
      </c>
      <c r="H74" s="100">
        <v>21</v>
      </c>
      <c r="I74" s="100">
        <v>42</v>
      </c>
      <c r="J74" s="99">
        <f t="shared" si="11"/>
        <v>63</v>
      </c>
      <c r="K74" s="9">
        <v>16</v>
      </c>
      <c r="L74" s="95">
        <v>20</v>
      </c>
      <c r="M74" s="9">
        <f t="shared" si="12"/>
        <v>36</v>
      </c>
      <c r="N74" s="10">
        <v>21</v>
      </c>
      <c r="O74" s="9">
        <v>41</v>
      </c>
      <c r="P74" s="9">
        <f t="shared" si="13"/>
        <v>62</v>
      </c>
      <c r="Q74" s="9">
        <v>21</v>
      </c>
      <c r="R74" s="9">
        <v>19</v>
      </c>
      <c r="S74" s="9">
        <v>13</v>
      </c>
      <c r="T74" s="9">
        <f t="shared" si="14"/>
        <v>32</v>
      </c>
      <c r="U74" s="9">
        <v>21</v>
      </c>
      <c r="V74" s="9">
        <v>22</v>
      </c>
      <c r="W74" s="9">
        <f t="shared" si="15"/>
        <v>43</v>
      </c>
      <c r="X74" s="9">
        <v>21</v>
      </c>
      <c r="Y74" s="9">
        <v>5</v>
      </c>
      <c r="Z74" s="26">
        <v>5</v>
      </c>
      <c r="AA74" s="26">
        <f t="shared" si="16"/>
        <v>10</v>
      </c>
      <c r="AB74" s="26">
        <v>21</v>
      </c>
      <c r="AC74" s="26">
        <v>41</v>
      </c>
      <c r="AD74" s="26">
        <f t="shared" si="17"/>
        <v>62</v>
      </c>
      <c r="AE74" s="9">
        <v>21</v>
      </c>
      <c r="AF74" s="9">
        <v>22</v>
      </c>
      <c r="AG74" s="9">
        <v>22</v>
      </c>
      <c r="AH74" s="9">
        <v>40</v>
      </c>
      <c r="AI74" s="12">
        <f t="shared" si="9"/>
        <v>485</v>
      </c>
      <c r="AJ74" s="3" t="s">
        <v>325</v>
      </c>
    </row>
    <row r="75" spans="1:36" x14ac:dyDescent="0.3">
      <c r="A75" s="1">
        <v>69</v>
      </c>
      <c r="B75" s="8">
        <v>488085</v>
      </c>
      <c r="C75" s="8">
        <v>25410260114</v>
      </c>
      <c r="D75" s="8" t="s">
        <v>242</v>
      </c>
      <c r="E75" s="9">
        <v>44</v>
      </c>
      <c r="F75" s="9">
        <v>17</v>
      </c>
      <c r="G75" s="97">
        <f t="shared" si="10"/>
        <v>61</v>
      </c>
      <c r="H75" s="100">
        <v>19</v>
      </c>
      <c r="I75" s="100">
        <v>38</v>
      </c>
      <c r="J75" s="99">
        <f t="shared" si="11"/>
        <v>57</v>
      </c>
      <c r="K75" s="9">
        <v>27</v>
      </c>
      <c r="L75" s="95">
        <v>16</v>
      </c>
      <c r="M75" s="9">
        <f t="shared" si="12"/>
        <v>43</v>
      </c>
      <c r="N75" s="10">
        <v>20</v>
      </c>
      <c r="O75" s="9">
        <v>37</v>
      </c>
      <c r="P75" s="9">
        <f t="shared" si="13"/>
        <v>57</v>
      </c>
      <c r="Q75" s="9">
        <v>20</v>
      </c>
      <c r="R75" s="9">
        <v>23</v>
      </c>
      <c r="S75" s="9">
        <v>14</v>
      </c>
      <c r="T75" s="9">
        <f t="shared" si="14"/>
        <v>37</v>
      </c>
      <c r="U75" s="9">
        <v>18</v>
      </c>
      <c r="V75" s="9">
        <v>19</v>
      </c>
      <c r="W75" s="9">
        <f t="shared" si="15"/>
        <v>37</v>
      </c>
      <c r="X75" s="9">
        <v>21</v>
      </c>
      <c r="Y75" s="9">
        <v>15</v>
      </c>
      <c r="Z75" s="26">
        <v>5</v>
      </c>
      <c r="AA75" s="26">
        <f t="shared" si="16"/>
        <v>20</v>
      </c>
      <c r="AB75" s="26">
        <v>20</v>
      </c>
      <c r="AC75" s="26">
        <v>37</v>
      </c>
      <c r="AD75" s="26">
        <f t="shared" si="17"/>
        <v>57</v>
      </c>
      <c r="AE75" s="9">
        <v>20</v>
      </c>
      <c r="AF75" s="9">
        <v>22</v>
      </c>
      <c r="AG75" s="9">
        <v>22</v>
      </c>
      <c r="AH75" s="9">
        <v>35</v>
      </c>
      <c r="AI75" s="12">
        <f t="shared" si="9"/>
        <v>509</v>
      </c>
      <c r="AJ75" s="3" t="s">
        <v>327</v>
      </c>
    </row>
    <row r="76" spans="1:36" x14ac:dyDescent="0.3">
      <c r="A76" s="1">
        <v>70</v>
      </c>
      <c r="B76" s="8">
        <v>488086</v>
      </c>
      <c r="C76" s="8">
        <v>25410260115</v>
      </c>
      <c r="D76" s="8" t="s">
        <v>243</v>
      </c>
      <c r="E76" s="9">
        <v>20</v>
      </c>
      <c r="F76" s="9">
        <v>6</v>
      </c>
      <c r="G76" s="97">
        <f t="shared" si="10"/>
        <v>26</v>
      </c>
      <c r="H76" s="100">
        <v>17</v>
      </c>
      <c r="I76" s="100">
        <v>34</v>
      </c>
      <c r="J76" s="99">
        <f t="shared" si="11"/>
        <v>51</v>
      </c>
      <c r="K76" s="9">
        <v>24</v>
      </c>
      <c r="L76" s="95">
        <v>16</v>
      </c>
      <c r="M76" s="9">
        <f t="shared" si="12"/>
        <v>40</v>
      </c>
      <c r="N76" s="10">
        <v>18</v>
      </c>
      <c r="O76" s="9">
        <v>25</v>
      </c>
      <c r="P76" s="9">
        <f t="shared" si="13"/>
        <v>43</v>
      </c>
      <c r="Q76" s="9">
        <v>18</v>
      </c>
      <c r="R76" s="9">
        <v>14</v>
      </c>
      <c r="S76" s="9">
        <v>7</v>
      </c>
      <c r="T76" s="9">
        <f t="shared" si="14"/>
        <v>21</v>
      </c>
      <c r="U76" s="9">
        <v>18</v>
      </c>
      <c r="V76" s="9">
        <v>20</v>
      </c>
      <c r="W76" s="9">
        <f t="shared" si="15"/>
        <v>38</v>
      </c>
      <c r="X76" s="9">
        <v>21</v>
      </c>
      <c r="Y76" s="9">
        <v>8</v>
      </c>
      <c r="Z76" s="26">
        <v>6</v>
      </c>
      <c r="AA76" s="26">
        <f t="shared" si="16"/>
        <v>14</v>
      </c>
      <c r="AB76" s="26">
        <v>19</v>
      </c>
      <c r="AC76" s="26">
        <v>30</v>
      </c>
      <c r="AD76" s="26">
        <f t="shared" si="17"/>
        <v>49</v>
      </c>
      <c r="AE76" s="9">
        <v>19</v>
      </c>
      <c r="AF76" s="9">
        <v>21</v>
      </c>
      <c r="AG76" s="9">
        <v>21</v>
      </c>
      <c r="AH76" s="9">
        <v>35</v>
      </c>
      <c r="AI76" s="12">
        <f t="shared" si="9"/>
        <v>417</v>
      </c>
      <c r="AJ76" s="3" t="s">
        <v>325</v>
      </c>
    </row>
    <row r="77" spans="1:36" x14ac:dyDescent="0.3">
      <c r="A77" s="3">
        <v>71</v>
      </c>
      <c r="B77" s="8">
        <v>488087</v>
      </c>
      <c r="C77" s="8">
        <v>25410260116</v>
      </c>
      <c r="D77" s="8" t="s">
        <v>244</v>
      </c>
      <c r="E77" s="9">
        <v>34</v>
      </c>
      <c r="F77" s="9">
        <v>9</v>
      </c>
      <c r="G77" s="97">
        <f t="shared" si="10"/>
        <v>43</v>
      </c>
      <c r="H77" s="100">
        <v>19</v>
      </c>
      <c r="I77" s="100">
        <v>38</v>
      </c>
      <c r="J77" s="99">
        <f t="shared" si="11"/>
        <v>57</v>
      </c>
      <c r="K77" s="9">
        <v>28</v>
      </c>
      <c r="L77" s="95">
        <v>12</v>
      </c>
      <c r="M77" s="9">
        <f t="shared" si="12"/>
        <v>40</v>
      </c>
      <c r="N77" s="10">
        <v>18</v>
      </c>
      <c r="O77" s="9">
        <v>36</v>
      </c>
      <c r="P77" s="9">
        <f t="shared" si="13"/>
        <v>54</v>
      </c>
      <c r="Q77" s="9">
        <v>18</v>
      </c>
      <c r="R77" s="9">
        <v>27</v>
      </c>
      <c r="S77" s="9">
        <v>7</v>
      </c>
      <c r="T77" s="9">
        <f t="shared" si="14"/>
        <v>34</v>
      </c>
      <c r="U77" s="9">
        <v>18</v>
      </c>
      <c r="V77" s="9">
        <v>19</v>
      </c>
      <c r="W77" s="9">
        <f t="shared" si="15"/>
        <v>37</v>
      </c>
      <c r="X77" s="9">
        <v>21</v>
      </c>
      <c r="Y77" s="9">
        <v>18</v>
      </c>
      <c r="Z77" s="26">
        <v>7</v>
      </c>
      <c r="AA77" s="26">
        <f t="shared" si="16"/>
        <v>25</v>
      </c>
      <c r="AB77" s="26">
        <v>19</v>
      </c>
      <c r="AC77" s="26">
        <v>36</v>
      </c>
      <c r="AD77" s="26">
        <f t="shared" si="17"/>
        <v>55</v>
      </c>
      <c r="AE77" s="9">
        <v>19</v>
      </c>
      <c r="AF77" s="9">
        <v>21</v>
      </c>
      <c r="AG77" s="9">
        <v>21</v>
      </c>
      <c r="AH77" s="9">
        <v>35</v>
      </c>
      <c r="AI77" s="12">
        <f t="shared" si="9"/>
        <v>480</v>
      </c>
      <c r="AJ77" s="3" t="s">
        <v>327</v>
      </c>
    </row>
    <row r="78" spans="1:36" x14ac:dyDescent="0.3">
      <c r="A78" s="1"/>
      <c r="B78" s="1"/>
      <c r="C78" s="1"/>
      <c r="D78" s="1"/>
      <c r="E78" s="10"/>
      <c r="F78" s="10"/>
      <c r="G78" s="10"/>
      <c r="H78" s="53"/>
      <c r="I78" s="5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"/>
    </row>
    <row r="79" spans="1:36" x14ac:dyDescent="0.3">
      <c r="A79" s="1"/>
      <c r="B79" s="1"/>
      <c r="C79" s="1"/>
      <c r="D79" s="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"/>
    </row>
    <row r="80" spans="1:36" x14ac:dyDescent="0.3">
      <c r="A80" s="1"/>
      <c r="B80" s="1"/>
      <c r="C80" s="1"/>
      <c r="D80" s="8" t="s">
        <v>9</v>
      </c>
      <c r="E80" s="9">
        <f t="shared" ref="E80:AH80" si="18">MIN(E10:E77)</f>
        <v>9</v>
      </c>
      <c r="F80" s="9">
        <f t="shared" si="18"/>
        <v>2</v>
      </c>
      <c r="G80" s="9">
        <f t="shared" si="18"/>
        <v>0</v>
      </c>
      <c r="H80" s="9">
        <f t="shared" si="18"/>
        <v>17</v>
      </c>
      <c r="I80" s="9">
        <f t="shared" si="18"/>
        <v>34</v>
      </c>
      <c r="J80" s="9">
        <f t="shared" si="18"/>
        <v>0</v>
      </c>
      <c r="K80" s="9">
        <f t="shared" si="18"/>
        <v>6</v>
      </c>
      <c r="L80" s="9">
        <f t="shared" si="18"/>
        <v>4</v>
      </c>
      <c r="M80" s="9">
        <f t="shared" si="18"/>
        <v>0</v>
      </c>
      <c r="N80" s="9">
        <f t="shared" si="18"/>
        <v>18</v>
      </c>
      <c r="O80" s="9">
        <f t="shared" si="18"/>
        <v>24</v>
      </c>
      <c r="P80" s="9">
        <f t="shared" si="18"/>
        <v>0</v>
      </c>
      <c r="Q80" s="9">
        <f t="shared" si="18"/>
        <v>18</v>
      </c>
      <c r="R80" s="9">
        <f t="shared" si="18"/>
        <v>0</v>
      </c>
      <c r="S80" s="9">
        <f t="shared" si="18"/>
        <v>4</v>
      </c>
      <c r="T80" s="9">
        <f t="shared" si="18"/>
        <v>4</v>
      </c>
      <c r="U80" s="9">
        <f t="shared" si="18"/>
        <v>17</v>
      </c>
      <c r="V80" s="9">
        <f t="shared" si="18"/>
        <v>17</v>
      </c>
      <c r="W80" s="9">
        <f t="shared" si="18"/>
        <v>0</v>
      </c>
      <c r="X80" s="9">
        <f t="shared" si="18"/>
        <v>18</v>
      </c>
      <c r="Y80" s="9">
        <f t="shared" si="18"/>
        <v>0</v>
      </c>
      <c r="Z80" s="9">
        <f t="shared" si="18"/>
        <v>0</v>
      </c>
      <c r="AA80" s="9">
        <f t="shared" si="18"/>
        <v>0</v>
      </c>
      <c r="AB80" s="9">
        <f t="shared" si="18"/>
        <v>19</v>
      </c>
      <c r="AC80" s="9">
        <f t="shared" si="18"/>
        <v>29</v>
      </c>
      <c r="AD80" s="9">
        <f t="shared" si="18"/>
        <v>0</v>
      </c>
      <c r="AE80" s="9">
        <f t="shared" si="18"/>
        <v>19</v>
      </c>
      <c r="AF80" s="9">
        <f t="shared" si="18"/>
        <v>20</v>
      </c>
      <c r="AG80" s="9">
        <f t="shared" si="18"/>
        <v>21</v>
      </c>
      <c r="AH80" s="9">
        <f t="shared" si="18"/>
        <v>30</v>
      </c>
      <c r="AI80" s="1"/>
    </row>
    <row r="81" spans="1:35" x14ac:dyDescent="0.3">
      <c r="A81" s="1"/>
      <c r="B81" s="1"/>
      <c r="C81" s="1"/>
      <c r="D81" s="8" t="s">
        <v>10</v>
      </c>
      <c r="E81" s="9">
        <f t="shared" ref="E81:AH81" si="19">MAX(E10:E77)</f>
        <v>68</v>
      </c>
      <c r="F81" s="9">
        <f t="shared" si="19"/>
        <v>30</v>
      </c>
      <c r="G81" s="9">
        <f t="shared" si="19"/>
        <v>98</v>
      </c>
      <c r="H81" s="9">
        <f t="shared" si="19"/>
        <v>24</v>
      </c>
      <c r="I81" s="9">
        <f t="shared" si="19"/>
        <v>49</v>
      </c>
      <c r="J81" s="9">
        <f t="shared" si="19"/>
        <v>73</v>
      </c>
      <c r="K81" s="9">
        <f t="shared" si="19"/>
        <v>63</v>
      </c>
      <c r="L81" s="9">
        <f t="shared" si="19"/>
        <v>30</v>
      </c>
      <c r="M81" s="9">
        <f t="shared" si="19"/>
        <v>93</v>
      </c>
      <c r="N81" s="9">
        <f t="shared" si="19"/>
        <v>23</v>
      </c>
      <c r="O81" s="9">
        <f t="shared" si="19"/>
        <v>49</v>
      </c>
      <c r="P81" s="9">
        <f t="shared" si="19"/>
        <v>72</v>
      </c>
      <c r="Q81" s="9">
        <f t="shared" si="19"/>
        <v>23</v>
      </c>
      <c r="R81" s="9">
        <f t="shared" si="19"/>
        <v>70</v>
      </c>
      <c r="S81" s="9">
        <f t="shared" si="19"/>
        <v>29</v>
      </c>
      <c r="T81" s="9">
        <f t="shared" si="19"/>
        <v>99</v>
      </c>
      <c r="U81" s="9">
        <f t="shared" si="19"/>
        <v>24</v>
      </c>
      <c r="V81" s="9">
        <f t="shared" si="19"/>
        <v>24</v>
      </c>
      <c r="W81" s="9">
        <f t="shared" si="19"/>
        <v>48</v>
      </c>
      <c r="X81" s="9">
        <f t="shared" si="19"/>
        <v>24</v>
      </c>
      <c r="Y81" s="9">
        <f t="shared" si="19"/>
        <v>69</v>
      </c>
      <c r="Z81" s="9">
        <f t="shared" si="19"/>
        <v>30</v>
      </c>
      <c r="AA81" s="9">
        <f t="shared" si="19"/>
        <v>96</v>
      </c>
      <c r="AB81" s="9">
        <f t="shared" si="19"/>
        <v>24</v>
      </c>
      <c r="AC81" s="9">
        <f t="shared" si="19"/>
        <v>48</v>
      </c>
      <c r="AD81" s="9">
        <f t="shared" si="19"/>
        <v>72</v>
      </c>
      <c r="AE81" s="9">
        <f t="shared" si="19"/>
        <v>24</v>
      </c>
      <c r="AF81" s="9">
        <f t="shared" si="19"/>
        <v>23</v>
      </c>
      <c r="AG81" s="9">
        <f t="shared" si="19"/>
        <v>23</v>
      </c>
      <c r="AH81" s="9">
        <f t="shared" si="19"/>
        <v>46</v>
      </c>
      <c r="AI81" s="1"/>
    </row>
    <row r="82" spans="1:35" x14ac:dyDescent="0.3">
      <c r="A82" s="1"/>
      <c r="B82" s="1"/>
      <c r="C82" s="1"/>
      <c r="D82" s="8" t="s">
        <v>11</v>
      </c>
      <c r="E82" s="9">
        <f t="shared" ref="E82:AH82" si="20">COUNTIF(E10:E77,"&gt;=0")</f>
        <v>67</v>
      </c>
      <c r="F82" s="9">
        <f t="shared" si="20"/>
        <v>67</v>
      </c>
      <c r="G82" s="9">
        <f t="shared" si="20"/>
        <v>68</v>
      </c>
      <c r="H82" s="9">
        <f t="shared" si="20"/>
        <v>67</v>
      </c>
      <c r="I82" s="9">
        <f t="shared" si="20"/>
        <v>67</v>
      </c>
      <c r="J82" s="9">
        <f t="shared" si="20"/>
        <v>68</v>
      </c>
      <c r="K82" s="9">
        <f t="shared" si="20"/>
        <v>67</v>
      </c>
      <c r="L82" s="9">
        <f t="shared" si="20"/>
        <v>67</v>
      </c>
      <c r="M82" s="9">
        <f t="shared" si="20"/>
        <v>68</v>
      </c>
      <c r="N82" s="9">
        <f t="shared" si="20"/>
        <v>67</v>
      </c>
      <c r="O82" s="9">
        <f t="shared" si="20"/>
        <v>67</v>
      </c>
      <c r="P82" s="9">
        <f t="shared" si="20"/>
        <v>68</v>
      </c>
      <c r="Q82" s="9">
        <f t="shared" si="20"/>
        <v>67</v>
      </c>
      <c r="R82" s="9">
        <f t="shared" si="20"/>
        <v>67</v>
      </c>
      <c r="S82" s="9">
        <f t="shared" si="20"/>
        <v>68</v>
      </c>
      <c r="T82" s="9">
        <f t="shared" si="20"/>
        <v>68</v>
      </c>
      <c r="U82" s="9">
        <f t="shared" si="20"/>
        <v>67</v>
      </c>
      <c r="V82" s="9">
        <f t="shared" si="20"/>
        <v>67</v>
      </c>
      <c r="W82" s="9">
        <f t="shared" si="20"/>
        <v>68</v>
      </c>
      <c r="X82" s="9">
        <f t="shared" si="20"/>
        <v>67</v>
      </c>
      <c r="Y82" s="9">
        <f t="shared" si="20"/>
        <v>67</v>
      </c>
      <c r="Z82" s="9">
        <f t="shared" si="20"/>
        <v>67</v>
      </c>
      <c r="AA82" s="9">
        <f t="shared" si="20"/>
        <v>68</v>
      </c>
      <c r="AB82" s="9">
        <f t="shared" si="20"/>
        <v>67</v>
      </c>
      <c r="AC82" s="9">
        <f t="shared" si="20"/>
        <v>67</v>
      </c>
      <c r="AD82" s="9">
        <f t="shared" si="20"/>
        <v>68</v>
      </c>
      <c r="AE82" s="9">
        <f t="shared" si="20"/>
        <v>67</v>
      </c>
      <c r="AF82" s="9">
        <f t="shared" si="20"/>
        <v>67</v>
      </c>
      <c r="AG82" s="9">
        <f t="shared" si="20"/>
        <v>67</v>
      </c>
      <c r="AH82" s="9">
        <f t="shared" si="20"/>
        <v>67</v>
      </c>
      <c r="AI82" s="1"/>
    </row>
    <row r="83" spans="1:35" x14ac:dyDescent="0.3">
      <c r="A83" s="1"/>
      <c r="B83" s="1"/>
      <c r="C83" s="1"/>
      <c r="D83" s="8" t="s">
        <v>12</v>
      </c>
      <c r="E83" s="9">
        <f t="shared" ref="E83:AH83" si="21">COUNTIF(E10:E77,"&gt;="&amp;E1)</f>
        <v>0</v>
      </c>
      <c r="F83" s="9">
        <f t="shared" si="21"/>
        <v>0</v>
      </c>
      <c r="G83" s="9">
        <f t="shared" si="21"/>
        <v>47</v>
      </c>
      <c r="H83" s="9">
        <f t="shared" si="21"/>
        <v>67</v>
      </c>
      <c r="I83" s="9">
        <f t="shared" si="21"/>
        <v>67</v>
      </c>
      <c r="J83" s="9">
        <f t="shared" si="21"/>
        <v>0</v>
      </c>
      <c r="K83" s="9">
        <f t="shared" si="21"/>
        <v>0</v>
      </c>
      <c r="L83" s="9">
        <f t="shared" si="21"/>
        <v>0</v>
      </c>
      <c r="M83" s="9">
        <f t="shared" si="21"/>
        <v>28</v>
      </c>
      <c r="N83" s="9">
        <f t="shared" si="21"/>
        <v>67</v>
      </c>
      <c r="O83" s="9">
        <f t="shared" si="21"/>
        <v>63</v>
      </c>
      <c r="P83" s="9">
        <f t="shared" si="21"/>
        <v>0</v>
      </c>
      <c r="Q83" s="9">
        <f t="shared" si="21"/>
        <v>67</v>
      </c>
      <c r="R83" s="9">
        <f t="shared" si="21"/>
        <v>0</v>
      </c>
      <c r="S83" s="9">
        <f t="shared" si="21"/>
        <v>0</v>
      </c>
      <c r="T83" s="9">
        <f t="shared" si="21"/>
        <v>18</v>
      </c>
      <c r="U83" s="9">
        <f t="shared" si="21"/>
        <v>67</v>
      </c>
      <c r="V83" s="9">
        <f t="shared" si="21"/>
        <v>67</v>
      </c>
      <c r="W83" s="9">
        <f t="shared" si="21"/>
        <v>67</v>
      </c>
      <c r="X83" s="9">
        <f t="shared" si="21"/>
        <v>67</v>
      </c>
      <c r="Y83" s="9">
        <f t="shared" si="21"/>
        <v>0</v>
      </c>
      <c r="Z83" s="9">
        <f t="shared" si="21"/>
        <v>0</v>
      </c>
      <c r="AA83" s="9">
        <f t="shared" si="21"/>
        <v>21</v>
      </c>
      <c r="AB83" s="9">
        <f t="shared" si="21"/>
        <v>67</v>
      </c>
      <c r="AC83" s="9">
        <f t="shared" si="21"/>
        <v>66</v>
      </c>
      <c r="AD83" s="9">
        <f t="shared" si="21"/>
        <v>0</v>
      </c>
      <c r="AE83" s="9">
        <f t="shared" si="21"/>
        <v>67</v>
      </c>
      <c r="AF83" s="9">
        <f t="shared" si="21"/>
        <v>67</v>
      </c>
      <c r="AG83" s="9">
        <f t="shared" si="21"/>
        <v>67</v>
      </c>
      <c r="AH83" s="9">
        <f t="shared" si="21"/>
        <v>67</v>
      </c>
      <c r="AI83" s="1"/>
    </row>
    <row r="84" spans="1:35" x14ac:dyDescent="0.3">
      <c r="A84" s="1"/>
      <c r="B84" s="1"/>
      <c r="C84" s="1"/>
      <c r="D84" s="8" t="s">
        <v>14</v>
      </c>
      <c r="E84" s="9">
        <f t="shared" ref="E84:AH84" si="22">COUNTIF(E11:E77,"&gt;="&amp;E1)</f>
        <v>0</v>
      </c>
      <c r="F84" s="9">
        <f t="shared" si="22"/>
        <v>0</v>
      </c>
      <c r="G84" s="9">
        <f t="shared" si="22"/>
        <v>46</v>
      </c>
      <c r="H84" s="9">
        <f t="shared" si="22"/>
        <v>66</v>
      </c>
      <c r="I84" s="9">
        <f t="shared" si="22"/>
        <v>66</v>
      </c>
      <c r="J84" s="9">
        <f t="shared" si="22"/>
        <v>0</v>
      </c>
      <c r="K84" s="9">
        <f t="shared" si="22"/>
        <v>0</v>
      </c>
      <c r="L84" s="9">
        <f t="shared" si="22"/>
        <v>0</v>
      </c>
      <c r="M84" s="9">
        <f t="shared" si="22"/>
        <v>27</v>
      </c>
      <c r="N84" s="9">
        <f t="shared" si="22"/>
        <v>66</v>
      </c>
      <c r="O84" s="9">
        <f t="shared" si="22"/>
        <v>62</v>
      </c>
      <c r="P84" s="9">
        <f t="shared" si="22"/>
        <v>0</v>
      </c>
      <c r="Q84" s="9">
        <f t="shared" si="22"/>
        <v>66</v>
      </c>
      <c r="R84" s="9">
        <f t="shared" si="22"/>
        <v>0</v>
      </c>
      <c r="S84" s="9">
        <f t="shared" si="22"/>
        <v>0</v>
      </c>
      <c r="T84" s="9">
        <f t="shared" si="22"/>
        <v>18</v>
      </c>
      <c r="U84" s="9">
        <f t="shared" si="22"/>
        <v>66</v>
      </c>
      <c r="V84" s="9">
        <f t="shared" si="22"/>
        <v>66</v>
      </c>
      <c r="W84" s="9">
        <f t="shared" si="22"/>
        <v>66</v>
      </c>
      <c r="X84" s="9">
        <f t="shared" si="22"/>
        <v>66</v>
      </c>
      <c r="Y84" s="9">
        <f t="shared" si="22"/>
        <v>0</v>
      </c>
      <c r="Z84" s="9">
        <f t="shared" si="22"/>
        <v>0</v>
      </c>
      <c r="AA84" s="9">
        <f t="shared" si="22"/>
        <v>20</v>
      </c>
      <c r="AB84" s="9">
        <f t="shared" si="22"/>
        <v>66</v>
      </c>
      <c r="AC84" s="9">
        <f t="shared" si="22"/>
        <v>65</v>
      </c>
      <c r="AD84" s="9">
        <f t="shared" si="22"/>
        <v>0</v>
      </c>
      <c r="AE84" s="9">
        <f t="shared" si="22"/>
        <v>66</v>
      </c>
      <c r="AF84" s="9">
        <f t="shared" si="22"/>
        <v>66</v>
      </c>
      <c r="AG84" s="9">
        <f t="shared" si="22"/>
        <v>66</v>
      </c>
      <c r="AH84" s="9">
        <f t="shared" si="22"/>
        <v>66</v>
      </c>
      <c r="AI84" s="1"/>
    </row>
    <row r="85" spans="1:35" x14ac:dyDescent="0.3">
      <c r="A85" s="1"/>
      <c r="B85" s="1"/>
      <c r="C85" s="1"/>
      <c r="D85" s="8" t="s">
        <v>15</v>
      </c>
      <c r="E85" s="9">
        <f t="shared" ref="E85:AH85" si="23">SUM(E11:E77)</f>
        <v>3261</v>
      </c>
      <c r="F85" s="9">
        <f t="shared" si="23"/>
        <v>1237</v>
      </c>
      <c r="G85" s="9">
        <f t="shared" si="23"/>
        <v>4498</v>
      </c>
      <c r="H85" s="9">
        <f t="shared" si="23"/>
        <v>1353</v>
      </c>
      <c r="I85" s="9">
        <f t="shared" si="23"/>
        <v>2720</v>
      </c>
      <c r="J85" s="9">
        <f t="shared" si="23"/>
        <v>4073</v>
      </c>
      <c r="K85" s="9">
        <f t="shared" si="23"/>
        <v>2411</v>
      </c>
      <c r="L85" s="9">
        <f t="shared" si="23"/>
        <v>1188</v>
      </c>
      <c r="M85" s="9">
        <f t="shared" si="23"/>
        <v>3599</v>
      </c>
      <c r="N85" s="9">
        <f t="shared" si="23"/>
        <v>1394</v>
      </c>
      <c r="O85" s="9">
        <f t="shared" si="23"/>
        <v>2686</v>
      </c>
      <c r="P85" s="9">
        <f t="shared" si="23"/>
        <v>4080</v>
      </c>
      <c r="Q85" s="9">
        <f t="shared" si="23"/>
        <v>1372</v>
      </c>
      <c r="R85" s="9">
        <f t="shared" si="23"/>
        <v>2128</v>
      </c>
      <c r="S85" s="9">
        <f t="shared" si="23"/>
        <v>1113</v>
      </c>
      <c r="T85" s="9">
        <f t="shared" si="23"/>
        <v>3241</v>
      </c>
      <c r="U85" s="9">
        <f t="shared" si="23"/>
        <v>1371</v>
      </c>
      <c r="V85" s="9">
        <f t="shared" si="23"/>
        <v>1421</v>
      </c>
      <c r="W85" s="9">
        <f t="shared" si="23"/>
        <v>2792</v>
      </c>
      <c r="X85" s="9">
        <f t="shared" si="23"/>
        <v>1448</v>
      </c>
      <c r="Y85" s="9">
        <f t="shared" si="23"/>
        <v>2395</v>
      </c>
      <c r="Z85" s="9">
        <f t="shared" si="23"/>
        <v>957</v>
      </c>
      <c r="AA85" s="9">
        <f t="shared" si="23"/>
        <v>3352</v>
      </c>
      <c r="AB85" s="9">
        <f t="shared" si="23"/>
        <v>1395</v>
      </c>
      <c r="AC85" s="9">
        <f t="shared" si="23"/>
        <v>2702</v>
      </c>
      <c r="AD85" s="9">
        <f t="shared" si="23"/>
        <v>4097</v>
      </c>
      <c r="AE85" s="9">
        <f t="shared" si="23"/>
        <v>1405</v>
      </c>
      <c r="AF85" s="9">
        <f t="shared" si="23"/>
        <v>1440</v>
      </c>
      <c r="AG85" s="9">
        <f t="shared" si="23"/>
        <v>1447</v>
      </c>
      <c r="AH85" s="9">
        <f t="shared" si="23"/>
        <v>2696</v>
      </c>
      <c r="AI85" s="1"/>
    </row>
    <row r="86" spans="1:35" x14ac:dyDescent="0.3">
      <c r="D86" s="4" t="s">
        <v>319</v>
      </c>
      <c r="E86" s="4">
        <f t="shared" ref="E86:AH86" si="24">E82*E6</f>
        <v>4690</v>
      </c>
      <c r="F86" s="4">
        <f t="shared" si="24"/>
        <v>2010</v>
      </c>
      <c r="G86" s="4">
        <f t="shared" si="24"/>
        <v>6800</v>
      </c>
      <c r="H86" s="4">
        <f t="shared" si="24"/>
        <v>1675</v>
      </c>
      <c r="I86" s="4">
        <f t="shared" si="24"/>
        <v>3350</v>
      </c>
      <c r="J86" s="4">
        <f t="shared" si="24"/>
        <v>5100</v>
      </c>
      <c r="K86" s="4">
        <f t="shared" si="24"/>
        <v>4690</v>
      </c>
      <c r="L86" s="4">
        <f t="shared" si="24"/>
        <v>2010</v>
      </c>
      <c r="M86" s="4">
        <f t="shared" si="24"/>
        <v>6800</v>
      </c>
      <c r="N86" s="4">
        <f t="shared" si="24"/>
        <v>1675</v>
      </c>
      <c r="O86" s="4">
        <f t="shared" si="24"/>
        <v>3350</v>
      </c>
      <c r="P86" s="4">
        <f t="shared" si="24"/>
        <v>5100</v>
      </c>
      <c r="Q86" s="4">
        <f t="shared" si="24"/>
        <v>1675</v>
      </c>
      <c r="R86" s="4">
        <f t="shared" si="24"/>
        <v>4690</v>
      </c>
      <c r="S86" s="4">
        <f t="shared" si="24"/>
        <v>2040</v>
      </c>
      <c r="T86" s="4">
        <f t="shared" si="24"/>
        <v>6800</v>
      </c>
      <c r="U86" s="4">
        <f t="shared" si="24"/>
        <v>1675</v>
      </c>
      <c r="V86" s="4">
        <f t="shared" si="24"/>
        <v>1675</v>
      </c>
      <c r="W86" s="4">
        <f t="shared" si="24"/>
        <v>3400</v>
      </c>
      <c r="X86" s="4">
        <f t="shared" si="24"/>
        <v>1675</v>
      </c>
      <c r="Y86" s="4">
        <f t="shared" si="24"/>
        <v>4690</v>
      </c>
      <c r="Z86" s="4">
        <f t="shared" si="24"/>
        <v>2010</v>
      </c>
      <c r="AA86" s="4">
        <f t="shared" si="24"/>
        <v>6800</v>
      </c>
      <c r="AB86" s="4">
        <f t="shared" si="24"/>
        <v>1675</v>
      </c>
      <c r="AC86" s="4">
        <f t="shared" si="24"/>
        <v>3350</v>
      </c>
      <c r="AD86" s="4">
        <f t="shared" si="24"/>
        <v>5100</v>
      </c>
      <c r="AE86" s="4">
        <f t="shared" si="24"/>
        <v>1675</v>
      </c>
      <c r="AF86" s="4">
        <f t="shared" si="24"/>
        <v>1675</v>
      </c>
      <c r="AG86" s="4">
        <f t="shared" si="24"/>
        <v>1675</v>
      </c>
      <c r="AH86" s="4">
        <f t="shared" si="24"/>
        <v>3350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6"/>
  <sheetViews>
    <sheetView topLeftCell="P1" workbookViewId="0">
      <selection sqref="A1:AI6"/>
    </sheetView>
  </sheetViews>
  <sheetFormatPr defaultColWidth="8.88671875" defaultRowHeight="13.8" x14ac:dyDescent="0.3"/>
  <cols>
    <col min="1" max="1" width="4.33203125" style="15" customWidth="1"/>
    <col min="2" max="2" width="8.88671875" style="15"/>
    <col min="3" max="3" width="13.6640625" style="15" customWidth="1"/>
    <col min="4" max="4" width="30.88671875" style="15" customWidth="1"/>
    <col min="5" max="5" width="11.44140625" style="112" customWidth="1"/>
    <col min="6" max="6" width="12.5546875" style="15" customWidth="1"/>
    <col min="7" max="8" width="8" style="15" customWidth="1"/>
    <col min="9" max="9" width="8" style="112" customWidth="1"/>
    <col min="10" max="15" width="8" style="15" customWidth="1"/>
    <col min="16" max="16" width="8" style="112" customWidth="1"/>
    <col min="17" max="33" width="8" style="15" customWidth="1"/>
    <col min="34" max="34" width="8.88671875" style="15"/>
    <col min="35" max="35" width="30.6640625" style="94" customWidth="1"/>
    <col min="36" max="16384" width="8.88671875" style="15"/>
  </cols>
  <sheetData>
    <row r="1" spans="1:36" x14ac:dyDescent="0.3">
      <c r="A1" s="14"/>
      <c r="B1" s="14"/>
      <c r="C1" s="14"/>
      <c r="D1" s="14" t="s">
        <v>19</v>
      </c>
      <c r="E1" s="107"/>
      <c r="F1" s="14"/>
      <c r="G1" s="14">
        <v>60</v>
      </c>
      <c r="H1" s="14">
        <v>15</v>
      </c>
      <c r="I1" s="107"/>
      <c r="J1" s="14"/>
      <c r="K1" s="14">
        <v>60</v>
      </c>
      <c r="L1" s="14">
        <v>30</v>
      </c>
      <c r="M1" s="14">
        <v>30</v>
      </c>
      <c r="N1" s="14"/>
      <c r="O1" s="14">
        <v>30</v>
      </c>
      <c r="P1" s="107"/>
      <c r="Q1" s="14"/>
      <c r="R1" s="14">
        <v>60</v>
      </c>
      <c r="S1" s="14">
        <v>15</v>
      </c>
      <c r="T1" s="14">
        <v>15</v>
      </c>
      <c r="U1" s="14">
        <v>30</v>
      </c>
      <c r="V1" s="14">
        <v>30</v>
      </c>
      <c r="W1" s="14"/>
      <c r="X1" s="14">
        <v>30</v>
      </c>
      <c r="Y1" s="14">
        <v>30</v>
      </c>
      <c r="Z1" s="14">
        <v>60</v>
      </c>
      <c r="AA1" s="14">
        <v>15</v>
      </c>
      <c r="AB1" s="14">
        <v>15</v>
      </c>
      <c r="AC1" s="14"/>
      <c r="AD1" s="14">
        <v>15</v>
      </c>
      <c r="AE1" s="14">
        <v>15</v>
      </c>
      <c r="AF1" s="14">
        <v>15</v>
      </c>
      <c r="AG1" s="14"/>
      <c r="AH1" s="14"/>
      <c r="AI1" s="21"/>
      <c r="AJ1" s="14"/>
    </row>
    <row r="2" spans="1:36" x14ac:dyDescent="0.3">
      <c r="A2" s="14"/>
      <c r="B2" s="14"/>
      <c r="C2" s="14"/>
      <c r="D2" s="14" t="s">
        <v>20</v>
      </c>
      <c r="E2" s="107"/>
      <c r="F2" s="14"/>
      <c r="G2" s="14">
        <v>40</v>
      </c>
      <c r="H2" s="14">
        <v>10</v>
      </c>
      <c r="I2" s="107"/>
      <c r="J2" s="14"/>
      <c r="K2" s="14">
        <v>40</v>
      </c>
      <c r="L2" s="14">
        <v>20</v>
      </c>
      <c r="M2" s="14">
        <v>20</v>
      </c>
      <c r="N2" s="14"/>
      <c r="O2" s="14">
        <v>20</v>
      </c>
      <c r="P2" s="107"/>
      <c r="Q2" s="14"/>
      <c r="R2" s="14">
        <v>40</v>
      </c>
      <c r="S2" s="14">
        <v>10</v>
      </c>
      <c r="T2" s="14">
        <v>10</v>
      </c>
      <c r="U2" s="14">
        <v>20</v>
      </c>
      <c r="V2" s="14">
        <v>20</v>
      </c>
      <c r="W2" s="14"/>
      <c r="X2" s="14">
        <v>20</v>
      </c>
      <c r="Y2" s="14">
        <v>20</v>
      </c>
      <c r="Z2" s="14">
        <v>40</v>
      </c>
      <c r="AA2" s="14">
        <v>10</v>
      </c>
      <c r="AB2" s="14">
        <v>10</v>
      </c>
      <c r="AC2" s="14"/>
      <c r="AD2" s="14">
        <v>10</v>
      </c>
      <c r="AE2" s="14">
        <v>10</v>
      </c>
      <c r="AF2" s="14">
        <v>10</v>
      </c>
      <c r="AG2" s="14"/>
      <c r="AH2" s="14"/>
      <c r="AI2" s="21"/>
      <c r="AJ2" s="14"/>
    </row>
    <row r="3" spans="1:36" x14ac:dyDescent="0.3">
      <c r="A3" s="14"/>
      <c r="B3" s="14"/>
      <c r="C3" s="14"/>
      <c r="D3" s="14" t="s">
        <v>21</v>
      </c>
      <c r="E3" s="107">
        <v>311302</v>
      </c>
      <c r="F3" s="14">
        <v>311302</v>
      </c>
      <c r="G3" s="14">
        <v>311302</v>
      </c>
      <c r="H3" s="14">
        <v>311302</v>
      </c>
      <c r="I3" s="107">
        <v>311302</v>
      </c>
      <c r="J3" s="14">
        <v>311302</v>
      </c>
      <c r="K3" s="14">
        <v>311302</v>
      </c>
      <c r="L3" s="14">
        <v>311302</v>
      </c>
      <c r="M3" s="14">
        <v>311302</v>
      </c>
      <c r="N3" s="14">
        <v>311302</v>
      </c>
      <c r="O3" s="14">
        <v>311302</v>
      </c>
      <c r="P3" s="107">
        <v>311303</v>
      </c>
      <c r="Q3" s="14">
        <v>311303</v>
      </c>
      <c r="R3" s="14">
        <v>311303</v>
      </c>
      <c r="S3" s="14">
        <v>311303</v>
      </c>
      <c r="T3" s="14">
        <v>311303</v>
      </c>
      <c r="U3" s="14">
        <v>311008</v>
      </c>
      <c r="V3" s="14">
        <v>311008</v>
      </c>
      <c r="W3" s="14">
        <v>311008</v>
      </c>
      <c r="X3" s="14">
        <v>311002</v>
      </c>
      <c r="Y3" s="14">
        <v>311002</v>
      </c>
      <c r="Z3" s="14">
        <v>311002</v>
      </c>
      <c r="AA3" s="14">
        <v>311001</v>
      </c>
      <c r="AB3" s="14">
        <v>311001</v>
      </c>
      <c r="AC3" s="14">
        <v>311001</v>
      </c>
      <c r="AD3" s="14">
        <v>311001</v>
      </c>
      <c r="AE3" s="14">
        <v>311003</v>
      </c>
      <c r="AF3" s="14">
        <v>311003</v>
      </c>
      <c r="AG3" s="14"/>
      <c r="AH3" s="14"/>
      <c r="AI3" s="21"/>
      <c r="AJ3" s="14"/>
    </row>
    <row r="4" spans="1:36" ht="15.6" x14ac:dyDescent="0.3">
      <c r="A4" s="1"/>
      <c r="B4" s="1"/>
      <c r="C4" s="1"/>
      <c r="D4" s="1" t="s">
        <v>22</v>
      </c>
      <c r="E4" s="69" t="s">
        <v>92</v>
      </c>
      <c r="F4" s="9" t="s">
        <v>92</v>
      </c>
      <c r="G4" s="9" t="s">
        <v>92</v>
      </c>
      <c r="H4" s="9" t="s">
        <v>92</v>
      </c>
      <c r="I4" s="69" t="s">
        <v>93</v>
      </c>
      <c r="J4" s="9" t="s">
        <v>93</v>
      </c>
      <c r="K4" s="9" t="s">
        <v>93</v>
      </c>
      <c r="L4" s="9" t="s">
        <v>93</v>
      </c>
      <c r="M4" s="9" t="s">
        <v>93</v>
      </c>
      <c r="N4" s="9" t="s">
        <v>93</v>
      </c>
      <c r="O4" s="9" t="s">
        <v>93</v>
      </c>
      <c r="P4" s="69" t="s">
        <v>94</v>
      </c>
      <c r="Q4" s="9" t="s">
        <v>94</v>
      </c>
      <c r="R4" s="9" t="s">
        <v>94</v>
      </c>
      <c r="S4" s="9" t="s">
        <v>94</v>
      </c>
      <c r="T4" s="9" t="s">
        <v>94</v>
      </c>
      <c r="U4" s="9" t="s">
        <v>95</v>
      </c>
      <c r="V4" s="9" t="s">
        <v>95</v>
      </c>
      <c r="W4" s="9" t="s">
        <v>95</v>
      </c>
      <c r="X4" s="9" t="s">
        <v>96</v>
      </c>
      <c r="Y4" s="9" t="s">
        <v>96</v>
      </c>
      <c r="Z4" s="9" t="s">
        <v>96</v>
      </c>
      <c r="AA4" s="9" t="s">
        <v>97</v>
      </c>
      <c r="AB4" s="9" t="s">
        <v>97</v>
      </c>
      <c r="AC4" s="9" t="s">
        <v>97</v>
      </c>
      <c r="AD4" s="9" t="s">
        <v>97</v>
      </c>
      <c r="AE4" s="9" t="s">
        <v>98</v>
      </c>
      <c r="AF4" s="9" t="s">
        <v>98</v>
      </c>
      <c r="AG4" s="8" t="s">
        <v>26</v>
      </c>
      <c r="AH4" s="1"/>
      <c r="AI4" s="1"/>
      <c r="AJ4" s="14"/>
    </row>
    <row r="5" spans="1:36" ht="15.6" x14ac:dyDescent="0.3">
      <c r="A5" s="1"/>
      <c r="B5" s="1"/>
      <c r="C5" s="1"/>
      <c r="D5" s="1" t="s">
        <v>23</v>
      </c>
      <c r="E5" s="69" t="s">
        <v>24</v>
      </c>
      <c r="F5" s="9" t="s">
        <v>25</v>
      </c>
      <c r="G5" s="8" t="s">
        <v>26</v>
      </c>
      <c r="H5" s="9" t="s">
        <v>6</v>
      </c>
      <c r="I5" s="69" t="s">
        <v>24</v>
      </c>
      <c r="J5" s="9" t="s">
        <v>25</v>
      </c>
      <c r="K5" s="8" t="s">
        <v>26</v>
      </c>
      <c r="L5" s="9" t="s">
        <v>27</v>
      </c>
      <c r="M5" s="9" t="s">
        <v>28</v>
      </c>
      <c r="N5" s="9" t="s">
        <v>26</v>
      </c>
      <c r="O5" s="9" t="s">
        <v>6</v>
      </c>
      <c r="P5" s="69" t="s">
        <v>24</v>
      </c>
      <c r="Q5" s="9" t="s">
        <v>25</v>
      </c>
      <c r="R5" s="9" t="s">
        <v>99</v>
      </c>
      <c r="S5" s="9" t="s">
        <v>28</v>
      </c>
      <c r="T5" s="9" t="s">
        <v>6</v>
      </c>
      <c r="U5" s="9" t="s">
        <v>27</v>
      </c>
      <c r="V5" s="9" t="s">
        <v>28</v>
      </c>
      <c r="W5" s="9" t="s">
        <v>26</v>
      </c>
      <c r="X5" s="9" t="s">
        <v>27</v>
      </c>
      <c r="Y5" s="9" t="s">
        <v>28</v>
      </c>
      <c r="Z5" s="9" t="s">
        <v>26</v>
      </c>
      <c r="AA5" s="9" t="s">
        <v>27</v>
      </c>
      <c r="AB5" s="9" t="s">
        <v>28</v>
      </c>
      <c r="AC5" s="9" t="s">
        <v>26</v>
      </c>
      <c r="AD5" s="9" t="s">
        <v>6</v>
      </c>
      <c r="AE5" s="9" t="s">
        <v>28</v>
      </c>
      <c r="AF5" s="9" t="s">
        <v>6</v>
      </c>
      <c r="AG5" s="8"/>
      <c r="AH5" s="1"/>
      <c r="AI5" s="1"/>
      <c r="AJ5" s="14"/>
    </row>
    <row r="6" spans="1:36" ht="46.8" x14ac:dyDescent="0.3">
      <c r="A6" s="1"/>
      <c r="B6" s="11" t="s">
        <v>100</v>
      </c>
      <c r="C6" s="11" t="s">
        <v>17</v>
      </c>
      <c r="D6" s="1" t="s">
        <v>101</v>
      </c>
      <c r="E6" s="108">
        <v>70</v>
      </c>
      <c r="F6" s="16">
        <v>30</v>
      </c>
      <c r="G6" s="16">
        <v>100</v>
      </c>
      <c r="H6" s="16">
        <v>25</v>
      </c>
      <c r="I6" s="108">
        <v>70</v>
      </c>
      <c r="J6" s="16">
        <v>30</v>
      </c>
      <c r="K6" s="16">
        <v>100</v>
      </c>
      <c r="L6" s="16">
        <v>50</v>
      </c>
      <c r="M6" s="16">
        <v>50</v>
      </c>
      <c r="N6" s="16">
        <v>100</v>
      </c>
      <c r="O6" s="16">
        <v>50</v>
      </c>
      <c r="P6" s="108">
        <v>70</v>
      </c>
      <c r="Q6" s="16">
        <v>30</v>
      </c>
      <c r="R6" s="16">
        <v>100</v>
      </c>
      <c r="S6" s="16">
        <v>25</v>
      </c>
      <c r="T6" s="16">
        <v>25</v>
      </c>
      <c r="U6" s="16">
        <v>50</v>
      </c>
      <c r="V6" s="16">
        <v>50</v>
      </c>
      <c r="W6" s="16">
        <v>100</v>
      </c>
      <c r="X6" s="16">
        <v>50</v>
      </c>
      <c r="Y6" s="16">
        <v>50</v>
      </c>
      <c r="Z6" s="16">
        <v>100</v>
      </c>
      <c r="AA6" s="16">
        <v>25</v>
      </c>
      <c r="AB6" s="16">
        <v>25</v>
      </c>
      <c r="AC6" s="16">
        <v>50</v>
      </c>
      <c r="AD6" s="16">
        <v>25</v>
      </c>
      <c r="AE6" s="16">
        <v>25</v>
      </c>
      <c r="AF6" s="16">
        <v>25</v>
      </c>
      <c r="AG6" s="17">
        <f>G6+H6+K6+N6+O6+R6+S6+T6+W6+Z6+AC6+AD6+AE6+AF6</f>
        <v>850</v>
      </c>
      <c r="AH6" s="18" t="s">
        <v>102</v>
      </c>
      <c r="AI6" s="8" t="s">
        <v>103</v>
      </c>
      <c r="AJ6" s="14"/>
    </row>
    <row r="7" spans="1:36" ht="18" x14ac:dyDescent="0.3">
      <c r="A7" s="1">
        <v>1</v>
      </c>
      <c r="B7" s="19">
        <v>488015</v>
      </c>
      <c r="C7" s="20">
        <v>25410260117</v>
      </c>
      <c r="D7" s="8" t="s">
        <v>104</v>
      </c>
      <c r="E7" s="69">
        <v>19</v>
      </c>
      <c r="F7" s="5">
        <v>3</v>
      </c>
      <c r="G7" s="9">
        <f>SUM(E7,F7)</f>
        <v>22</v>
      </c>
      <c r="H7" s="21">
        <v>17</v>
      </c>
      <c r="I7" s="69" t="s">
        <v>105</v>
      </c>
      <c r="J7" s="9" t="s">
        <v>105</v>
      </c>
      <c r="K7" s="9">
        <f>SUM(I7,J7)</f>
        <v>0</v>
      </c>
      <c r="L7" s="9" t="s">
        <v>105</v>
      </c>
      <c r="M7" s="9" t="s">
        <v>105</v>
      </c>
      <c r="N7" s="9">
        <f>SUM(L7,M7)</f>
        <v>0</v>
      </c>
      <c r="O7" s="9" t="s">
        <v>105</v>
      </c>
      <c r="P7" s="69">
        <v>36</v>
      </c>
      <c r="Q7" s="9">
        <v>17</v>
      </c>
      <c r="R7" s="9">
        <f>SUM(P7,Q7)</f>
        <v>53</v>
      </c>
      <c r="S7" s="9">
        <v>15</v>
      </c>
      <c r="T7" s="9">
        <v>21</v>
      </c>
      <c r="U7" s="22" t="s">
        <v>106</v>
      </c>
      <c r="V7" s="9">
        <v>32</v>
      </c>
      <c r="W7" s="9">
        <f>SUM(U7,V7)</f>
        <v>32</v>
      </c>
      <c r="X7" s="22" t="s">
        <v>106</v>
      </c>
      <c r="Y7" s="10">
        <v>40</v>
      </c>
      <c r="Z7" s="12">
        <f>SUM(X7,Y7)</f>
        <v>40</v>
      </c>
      <c r="AA7" s="10" t="s">
        <v>105</v>
      </c>
      <c r="AB7" s="5" t="s">
        <v>105</v>
      </c>
      <c r="AC7" s="9">
        <f>SUM(AA7,AB7)</f>
        <v>0</v>
      </c>
      <c r="AD7" s="5" t="s">
        <v>105</v>
      </c>
      <c r="AE7" s="23">
        <v>17</v>
      </c>
      <c r="AF7" s="14">
        <v>18</v>
      </c>
      <c r="AG7" s="24">
        <f>SUM(G7,H7,K7,N7,O7,R7,S7,T7,W7,Z7,AC7,AD7,AE7,AF7)</f>
        <v>235</v>
      </c>
      <c r="AH7" s="25">
        <f t="shared" ref="AH7:AH38" si="0">AG7/$AG$6*100</f>
        <v>27.647058823529413</v>
      </c>
      <c r="AI7" s="8" t="s">
        <v>325</v>
      </c>
      <c r="AJ7" s="14"/>
    </row>
    <row r="8" spans="1:36" ht="18" x14ac:dyDescent="0.3">
      <c r="A8" s="1">
        <v>2</v>
      </c>
      <c r="B8" s="19">
        <v>488016</v>
      </c>
      <c r="C8" s="20">
        <v>25410260118</v>
      </c>
      <c r="D8" s="8" t="s">
        <v>107</v>
      </c>
      <c r="E8" s="69">
        <v>47</v>
      </c>
      <c r="F8" s="5">
        <v>20</v>
      </c>
      <c r="G8" s="9">
        <f t="shared" ref="G8:G71" si="1">SUM(E8,F8)</f>
        <v>67</v>
      </c>
      <c r="H8" s="14">
        <v>17</v>
      </c>
      <c r="I8" s="69">
        <v>33</v>
      </c>
      <c r="J8" s="9">
        <v>22</v>
      </c>
      <c r="K8" s="9">
        <f t="shared" ref="K8:K71" si="2">SUM(I8,J8)</f>
        <v>55</v>
      </c>
      <c r="L8" s="9">
        <v>41</v>
      </c>
      <c r="M8" s="9">
        <v>46</v>
      </c>
      <c r="N8" s="9">
        <f t="shared" ref="N8:N71" si="3">SUM(L8,M8)</f>
        <v>87</v>
      </c>
      <c r="O8" s="9">
        <v>39</v>
      </c>
      <c r="P8" s="69">
        <v>49</v>
      </c>
      <c r="Q8" s="9">
        <v>22</v>
      </c>
      <c r="R8" s="9">
        <f t="shared" ref="R8:R71" si="4">SUM(P8,Q8)</f>
        <v>71</v>
      </c>
      <c r="S8" s="9">
        <v>18</v>
      </c>
      <c r="T8" s="9">
        <v>21</v>
      </c>
      <c r="U8" s="9">
        <v>26</v>
      </c>
      <c r="V8" s="9">
        <v>38</v>
      </c>
      <c r="W8" s="9">
        <f t="shared" ref="W8:W71" si="5">SUM(U8,V8)</f>
        <v>64</v>
      </c>
      <c r="X8" s="22">
        <v>40</v>
      </c>
      <c r="Y8" s="10">
        <v>40</v>
      </c>
      <c r="Z8" s="12">
        <f t="shared" ref="Z8:Z71" si="6">SUM(X8,Y8)</f>
        <v>80</v>
      </c>
      <c r="AA8" s="26">
        <v>20</v>
      </c>
      <c r="AB8" s="5">
        <v>20</v>
      </c>
      <c r="AC8" s="9">
        <f t="shared" ref="AC8:AC71" si="7">SUM(AA8,AB8)</f>
        <v>40</v>
      </c>
      <c r="AD8" s="5">
        <v>20</v>
      </c>
      <c r="AE8" s="23">
        <v>17</v>
      </c>
      <c r="AF8" s="14">
        <v>20</v>
      </c>
      <c r="AG8" s="24">
        <f t="shared" ref="AG8:AG71" si="8">SUM(G8,H8,K8,N8,O8,R8,S8,T8,W8,Z8,AC8,AD8,AE8,AF8)</f>
        <v>616</v>
      </c>
      <c r="AH8" s="25">
        <f t="shared" si="0"/>
        <v>72.470588235294116</v>
      </c>
      <c r="AI8" s="8" t="s">
        <v>328</v>
      </c>
      <c r="AJ8" s="14"/>
    </row>
    <row r="9" spans="1:36" ht="18" x14ac:dyDescent="0.3">
      <c r="A9" s="1">
        <v>3</v>
      </c>
      <c r="B9" s="19">
        <v>488017</v>
      </c>
      <c r="C9" s="20">
        <v>25410260119</v>
      </c>
      <c r="D9" s="8" t="s">
        <v>108</v>
      </c>
      <c r="E9" s="69">
        <v>68</v>
      </c>
      <c r="F9" s="5">
        <v>23</v>
      </c>
      <c r="G9" s="9">
        <f t="shared" si="1"/>
        <v>91</v>
      </c>
      <c r="H9" s="14">
        <v>17</v>
      </c>
      <c r="I9" s="69">
        <v>23</v>
      </c>
      <c r="J9" s="9">
        <v>30</v>
      </c>
      <c r="K9" s="9">
        <f t="shared" si="2"/>
        <v>53</v>
      </c>
      <c r="L9" s="9">
        <v>45</v>
      </c>
      <c r="M9" s="9">
        <v>47</v>
      </c>
      <c r="N9" s="9">
        <f t="shared" si="3"/>
        <v>92</v>
      </c>
      <c r="O9" s="9">
        <v>42</v>
      </c>
      <c r="P9" s="69">
        <v>44</v>
      </c>
      <c r="Q9" s="9">
        <v>21</v>
      </c>
      <c r="R9" s="9">
        <f t="shared" si="4"/>
        <v>65</v>
      </c>
      <c r="S9" s="9">
        <v>21</v>
      </c>
      <c r="T9" s="9">
        <v>19</v>
      </c>
      <c r="U9" s="9">
        <v>32</v>
      </c>
      <c r="V9" s="9">
        <v>43</v>
      </c>
      <c r="W9" s="9">
        <f t="shared" si="5"/>
        <v>75</v>
      </c>
      <c r="X9" s="22">
        <v>36</v>
      </c>
      <c r="Y9" s="10">
        <v>40</v>
      </c>
      <c r="Z9" s="12">
        <f t="shared" si="6"/>
        <v>76</v>
      </c>
      <c r="AA9" s="26">
        <v>20</v>
      </c>
      <c r="AB9" s="5">
        <v>20</v>
      </c>
      <c r="AC9" s="9">
        <f t="shared" si="7"/>
        <v>40</v>
      </c>
      <c r="AD9" s="5">
        <v>20</v>
      </c>
      <c r="AE9" s="23">
        <v>17</v>
      </c>
      <c r="AF9" s="14">
        <v>21</v>
      </c>
      <c r="AG9" s="24">
        <f>SUM(G9,H9,K9,N9,O9,R9,S9,T9,W9,Z9,AC9,AD9,AE9,AF9)</f>
        <v>649</v>
      </c>
      <c r="AH9" s="25">
        <f t="shared" si="0"/>
        <v>76.352941176470594</v>
      </c>
      <c r="AI9" s="8" t="s">
        <v>329</v>
      </c>
      <c r="AJ9" s="14"/>
    </row>
    <row r="10" spans="1:36" ht="18" x14ac:dyDescent="0.3">
      <c r="A10" s="1">
        <v>4</v>
      </c>
      <c r="B10" s="19">
        <v>488018</v>
      </c>
      <c r="C10" s="20">
        <v>25410260120</v>
      </c>
      <c r="D10" s="8" t="s">
        <v>109</v>
      </c>
      <c r="E10" s="69">
        <v>55</v>
      </c>
      <c r="F10" s="5">
        <v>28</v>
      </c>
      <c r="G10" s="9">
        <f t="shared" si="1"/>
        <v>83</v>
      </c>
      <c r="H10" s="14">
        <v>17</v>
      </c>
      <c r="I10" s="69">
        <v>33</v>
      </c>
      <c r="J10" s="9">
        <v>30</v>
      </c>
      <c r="K10" s="9">
        <f t="shared" si="2"/>
        <v>63</v>
      </c>
      <c r="L10" s="9">
        <v>44</v>
      </c>
      <c r="M10" s="9">
        <v>46</v>
      </c>
      <c r="N10" s="9">
        <f t="shared" si="3"/>
        <v>90</v>
      </c>
      <c r="O10" s="9">
        <v>42</v>
      </c>
      <c r="P10" s="69">
        <v>46</v>
      </c>
      <c r="Q10" s="9">
        <v>24</v>
      </c>
      <c r="R10" s="9">
        <f t="shared" si="4"/>
        <v>70</v>
      </c>
      <c r="S10" s="9">
        <v>23</v>
      </c>
      <c r="T10" s="9">
        <v>21</v>
      </c>
      <c r="U10" s="9">
        <v>44</v>
      </c>
      <c r="V10" s="9">
        <v>45</v>
      </c>
      <c r="W10" s="9">
        <f t="shared" si="5"/>
        <v>89</v>
      </c>
      <c r="X10" s="22">
        <v>42</v>
      </c>
      <c r="Y10" s="10">
        <v>42</v>
      </c>
      <c r="Z10" s="12">
        <f t="shared" si="6"/>
        <v>84</v>
      </c>
      <c r="AA10" s="10" t="s">
        <v>105</v>
      </c>
      <c r="AB10" s="5" t="s">
        <v>105</v>
      </c>
      <c r="AC10" s="9">
        <f t="shared" si="7"/>
        <v>0</v>
      </c>
      <c r="AD10" s="5" t="s">
        <v>105</v>
      </c>
      <c r="AE10" s="23">
        <v>18</v>
      </c>
      <c r="AF10" s="14">
        <v>18</v>
      </c>
      <c r="AG10" s="24">
        <f t="shared" si="8"/>
        <v>618</v>
      </c>
      <c r="AH10" s="25">
        <f t="shared" si="0"/>
        <v>72.705882352941174</v>
      </c>
      <c r="AI10" s="8" t="s">
        <v>330</v>
      </c>
      <c r="AJ10" s="14"/>
    </row>
    <row r="11" spans="1:36" ht="18" x14ac:dyDescent="0.3">
      <c r="A11" s="1">
        <v>5</v>
      </c>
      <c r="B11" s="19">
        <v>488019</v>
      </c>
      <c r="C11" s="20">
        <v>25410260121</v>
      </c>
      <c r="D11" s="8" t="s">
        <v>110</v>
      </c>
      <c r="E11" s="69">
        <v>50</v>
      </c>
      <c r="F11" s="5">
        <v>11</v>
      </c>
      <c r="G11" s="9">
        <f t="shared" si="1"/>
        <v>61</v>
      </c>
      <c r="H11" s="14">
        <v>18</v>
      </c>
      <c r="I11" s="69">
        <v>21</v>
      </c>
      <c r="J11" s="9">
        <v>16</v>
      </c>
      <c r="K11" s="9">
        <f t="shared" si="2"/>
        <v>37</v>
      </c>
      <c r="L11" s="9">
        <v>35</v>
      </c>
      <c r="M11" s="9">
        <v>45</v>
      </c>
      <c r="N11" s="9">
        <f t="shared" si="3"/>
        <v>80</v>
      </c>
      <c r="O11" s="9">
        <v>39</v>
      </c>
      <c r="P11" s="69">
        <v>47</v>
      </c>
      <c r="Q11" s="9">
        <v>21</v>
      </c>
      <c r="R11" s="9">
        <f t="shared" si="4"/>
        <v>68</v>
      </c>
      <c r="S11" s="9">
        <v>22</v>
      </c>
      <c r="T11" s="9">
        <v>21</v>
      </c>
      <c r="U11" s="9">
        <v>29</v>
      </c>
      <c r="V11" s="9">
        <v>43</v>
      </c>
      <c r="W11" s="9">
        <f t="shared" si="5"/>
        <v>72</v>
      </c>
      <c r="X11" s="22">
        <v>40</v>
      </c>
      <c r="Y11" s="10">
        <v>40</v>
      </c>
      <c r="Z11" s="12">
        <f t="shared" si="6"/>
        <v>80</v>
      </c>
      <c r="AA11" s="26">
        <v>20</v>
      </c>
      <c r="AB11" s="5">
        <v>20</v>
      </c>
      <c r="AC11" s="9">
        <f t="shared" si="7"/>
        <v>40</v>
      </c>
      <c r="AD11" s="5">
        <v>20</v>
      </c>
      <c r="AE11" s="23">
        <v>20</v>
      </c>
      <c r="AF11" s="14">
        <v>17</v>
      </c>
      <c r="AG11" s="24">
        <f t="shared" si="8"/>
        <v>595</v>
      </c>
      <c r="AH11" s="25">
        <f t="shared" si="0"/>
        <v>70</v>
      </c>
      <c r="AI11" s="8" t="s">
        <v>331</v>
      </c>
      <c r="AJ11" s="14"/>
    </row>
    <row r="12" spans="1:36" ht="18" x14ac:dyDescent="0.3">
      <c r="A12" s="1">
        <v>6</v>
      </c>
      <c r="B12" s="19">
        <v>488020</v>
      </c>
      <c r="C12" s="20">
        <v>25410260122</v>
      </c>
      <c r="D12" s="8" t="s">
        <v>111</v>
      </c>
      <c r="E12" s="69">
        <v>43</v>
      </c>
      <c r="F12" s="5">
        <v>11</v>
      </c>
      <c r="G12" s="9">
        <f t="shared" si="1"/>
        <v>54</v>
      </c>
      <c r="H12" s="14">
        <v>18</v>
      </c>
      <c r="I12" s="69">
        <v>22</v>
      </c>
      <c r="J12" s="9">
        <v>29</v>
      </c>
      <c r="K12" s="9">
        <f t="shared" si="2"/>
        <v>51</v>
      </c>
      <c r="L12" s="9">
        <v>41</v>
      </c>
      <c r="M12" s="9">
        <v>46</v>
      </c>
      <c r="N12" s="9">
        <f t="shared" si="3"/>
        <v>87</v>
      </c>
      <c r="O12" s="9">
        <v>41</v>
      </c>
      <c r="P12" s="69">
        <v>50</v>
      </c>
      <c r="Q12" s="9">
        <v>23</v>
      </c>
      <c r="R12" s="9">
        <f t="shared" si="4"/>
        <v>73</v>
      </c>
      <c r="S12" s="9">
        <v>21</v>
      </c>
      <c r="T12" s="9">
        <v>19</v>
      </c>
      <c r="U12" s="9">
        <v>28</v>
      </c>
      <c r="V12" s="9">
        <v>37</v>
      </c>
      <c r="W12" s="9">
        <f t="shared" si="5"/>
        <v>65</v>
      </c>
      <c r="X12" s="22">
        <v>40</v>
      </c>
      <c r="Y12" s="10">
        <v>40</v>
      </c>
      <c r="Z12" s="12">
        <f t="shared" si="6"/>
        <v>80</v>
      </c>
      <c r="AA12" s="26">
        <v>20</v>
      </c>
      <c r="AB12" s="5">
        <v>20</v>
      </c>
      <c r="AC12" s="9">
        <f t="shared" si="7"/>
        <v>40</v>
      </c>
      <c r="AD12" s="5">
        <v>20</v>
      </c>
      <c r="AE12" s="23">
        <v>19</v>
      </c>
      <c r="AF12" s="14">
        <v>16</v>
      </c>
      <c r="AG12" s="24">
        <f t="shared" si="8"/>
        <v>604</v>
      </c>
      <c r="AH12" s="25">
        <f t="shared" si="0"/>
        <v>71.058823529411768</v>
      </c>
      <c r="AI12" s="8" t="s">
        <v>328</v>
      </c>
      <c r="AJ12" s="14"/>
    </row>
    <row r="13" spans="1:36" ht="18" x14ac:dyDescent="0.3">
      <c r="A13" s="1">
        <v>7</v>
      </c>
      <c r="B13" s="19">
        <v>488021</v>
      </c>
      <c r="C13" s="20">
        <v>25410260123</v>
      </c>
      <c r="D13" s="8" t="s">
        <v>112</v>
      </c>
      <c r="E13" s="69">
        <v>68</v>
      </c>
      <c r="F13" s="5">
        <v>28</v>
      </c>
      <c r="G13" s="9">
        <f t="shared" si="1"/>
        <v>96</v>
      </c>
      <c r="H13" s="14">
        <v>17</v>
      </c>
      <c r="I13" s="69">
        <v>38</v>
      </c>
      <c r="J13" s="9">
        <v>30</v>
      </c>
      <c r="K13" s="9">
        <f t="shared" si="2"/>
        <v>68</v>
      </c>
      <c r="L13" s="9">
        <v>45</v>
      </c>
      <c r="M13" s="9">
        <v>48</v>
      </c>
      <c r="N13" s="9">
        <f t="shared" si="3"/>
        <v>93</v>
      </c>
      <c r="O13" s="9">
        <v>43</v>
      </c>
      <c r="P13" s="69">
        <v>53</v>
      </c>
      <c r="Q13" s="9">
        <v>29</v>
      </c>
      <c r="R13" s="9">
        <f t="shared" si="4"/>
        <v>82</v>
      </c>
      <c r="S13" s="9">
        <v>22</v>
      </c>
      <c r="T13" s="9">
        <v>21</v>
      </c>
      <c r="U13" s="9">
        <v>27</v>
      </c>
      <c r="V13" s="9">
        <v>37</v>
      </c>
      <c r="W13" s="9">
        <f t="shared" si="5"/>
        <v>64</v>
      </c>
      <c r="X13" s="22">
        <v>40</v>
      </c>
      <c r="Y13" s="10">
        <v>40</v>
      </c>
      <c r="Z13" s="12">
        <f t="shared" si="6"/>
        <v>80</v>
      </c>
      <c r="AA13" s="26">
        <v>23</v>
      </c>
      <c r="AB13" s="5">
        <v>23</v>
      </c>
      <c r="AC13" s="9">
        <f t="shared" si="7"/>
        <v>46</v>
      </c>
      <c r="AD13" s="5">
        <v>23</v>
      </c>
      <c r="AE13" s="23">
        <v>18</v>
      </c>
      <c r="AF13" s="14">
        <v>18</v>
      </c>
      <c r="AG13" s="24">
        <f t="shared" si="8"/>
        <v>691</v>
      </c>
      <c r="AH13" s="25">
        <f t="shared" si="0"/>
        <v>81.294117647058826</v>
      </c>
      <c r="AI13" s="8" t="s">
        <v>329</v>
      </c>
      <c r="AJ13" s="14"/>
    </row>
    <row r="14" spans="1:36" ht="18" x14ac:dyDescent="0.3">
      <c r="A14" s="1">
        <v>8</v>
      </c>
      <c r="B14" s="19">
        <v>488022</v>
      </c>
      <c r="C14" s="20">
        <v>25410260124</v>
      </c>
      <c r="D14" s="8" t="s">
        <v>113</v>
      </c>
      <c r="E14" s="69">
        <v>68</v>
      </c>
      <c r="F14" s="5">
        <v>30</v>
      </c>
      <c r="G14" s="9">
        <f t="shared" si="1"/>
        <v>98</v>
      </c>
      <c r="H14" s="14">
        <v>17</v>
      </c>
      <c r="I14" s="69">
        <v>31</v>
      </c>
      <c r="J14" s="9">
        <v>30</v>
      </c>
      <c r="K14" s="9">
        <f t="shared" si="2"/>
        <v>61</v>
      </c>
      <c r="L14" s="9">
        <v>45</v>
      </c>
      <c r="M14" s="9">
        <v>45</v>
      </c>
      <c r="N14" s="9">
        <f t="shared" si="3"/>
        <v>90</v>
      </c>
      <c r="O14" s="9">
        <v>42</v>
      </c>
      <c r="P14" s="69">
        <v>49</v>
      </c>
      <c r="Q14" s="9">
        <v>26</v>
      </c>
      <c r="R14" s="9">
        <f t="shared" si="4"/>
        <v>75</v>
      </c>
      <c r="S14" s="9">
        <v>23</v>
      </c>
      <c r="T14" s="9">
        <v>20</v>
      </c>
      <c r="U14" s="9">
        <v>29</v>
      </c>
      <c r="V14" s="9">
        <v>45</v>
      </c>
      <c r="W14" s="9">
        <f t="shared" si="5"/>
        <v>74</v>
      </c>
      <c r="X14" s="22">
        <v>44</v>
      </c>
      <c r="Y14" s="10">
        <v>44</v>
      </c>
      <c r="Z14" s="12">
        <f t="shared" si="6"/>
        <v>88</v>
      </c>
      <c r="AA14" s="26">
        <v>22</v>
      </c>
      <c r="AB14" s="5">
        <v>22</v>
      </c>
      <c r="AC14" s="9">
        <f t="shared" si="7"/>
        <v>44</v>
      </c>
      <c r="AD14" s="5">
        <v>22</v>
      </c>
      <c r="AE14" s="23">
        <v>18</v>
      </c>
      <c r="AF14" s="14">
        <v>17</v>
      </c>
      <c r="AG14" s="24">
        <f t="shared" si="8"/>
        <v>689</v>
      </c>
      <c r="AH14" s="25">
        <f t="shared" si="0"/>
        <v>81.058823529411768</v>
      </c>
      <c r="AI14" s="8" t="s">
        <v>329</v>
      </c>
      <c r="AJ14" s="14"/>
    </row>
    <row r="15" spans="1:36" ht="18" x14ac:dyDescent="0.3">
      <c r="A15" s="1">
        <v>9</v>
      </c>
      <c r="B15" s="19">
        <v>488023</v>
      </c>
      <c r="C15" s="20">
        <v>25410260125</v>
      </c>
      <c r="D15" s="8" t="s">
        <v>114</v>
      </c>
      <c r="E15" s="69">
        <v>59</v>
      </c>
      <c r="F15" s="5">
        <v>30</v>
      </c>
      <c r="G15" s="9">
        <f t="shared" si="1"/>
        <v>89</v>
      </c>
      <c r="H15" s="14">
        <v>19</v>
      </c>
      <c r="I15" s="69">
        <v>33</v>
      </c>
      <c r="J15" s="9">
        <v>30</v>
      </c>
      <c r="K15" s="9">
        <f t="shared" si="2"/>
        <v>63</v>
      </c>
      <c r="L15" s="9">
        <v>43</v>
      </c>
      <c r="M15" s="9">
        <v>36</v>
      </c>
      <c r="N15" s="9">
        <f t="shared" si="3"/>
        <v>79</v>
      </c>
      <c r="O15" s="9">
        <v>42</v>
      </c>
      <c r="P15" s="69">
        <v>46</v>
      </c>
      <c r="Q15" s="9">
        <v>27</v>
      </c>
      <c r="R15" s="9">
        <f t="shared" si="4"/>
        <v>73</v>
      </c>
      <c r="S15" s="9">
        <v>18</v>
      </c>
      <c r="T15" s="9">
        <v>20</v>
      </c>
      <c r="U15" s="9">
        <v>23</v>
      </c>
      <c r="V15" s="9">
        <v>33</v>
      </c>
      <c r="W15" s="9">
        <f t="shared" si="5"/>
        <v>56</v>
      </c>
      <c r="X15" s="22">
        <v>40</v>
      </c>
      <c r="Y15" s="10">
        <v>40</v>
      </c>
      <c r="Z15" s="12">
        <f t="shared" si="6"/>
        <v>80</v>
      </c>
      <c r="AA15" s="26">
        <v>20</v>
      </c>
      <c r="AB15" s="5">
        <v>20</v>
      </c>
      <c r="AC15" s="9">
        <f t="shared" si="7"/>
        <v>40</v>
      </c>
      <c r="AD15" s="5">
        <v>20</v>
      </c>
      <c r="AE15" s="23">
        <v>20</v>
      </c>
      <c r="AF15" s="14">
        <v>18</v>
      </c>
      <c r="AG15" s="24">
        <f t="shared" si="8"/>
        <v>637</v>
      </c>
      <c r="AH15" s="25">
        <f t="shared" si="0"/>
        <v>74.941176470588232</v>
      </c>
      <c r="AI15" s="8" t="s">
        <v>329</v>
      </c>
      <c r="AJ15" s="14"/>
    </row>
    <row r="16" spans="1:36" ht="18" x14ac:dyDescent="0.3">
      <c r="A16" s="1">
        <v>10</v>
      </c>
      <c r="B16" s="19">
        <v>488024</v>
      </c>
      <c r="C16" s="20">
        <v>25410260126</v>
      </c>
      <c r="D16" s="8" t="s">
        <v>115</v>
      </c>
      <c r="E16" s="69">
        <v>42</v>
      </c>
      <c r="F16" s="5">
        <v>19</v>
      </c>
      <c r="G16" s="9">
        <f t="shared" si="1"/>
        <v>61</v>
      </c>
      <c r="H16" s="14">
        <v>18</v>
      </c>
      <c r="I16" s="69">
        <v>14</v>
      </c>
      <c r="J16" s="9">
        <v>22</v>
      </c>
      <c r="K16" s="9">
        <f t="shared" si="2"/>
        <v>36</v>
      </c>
      <c r="L16" s="9">
        <v>43</v>
      </c>
      <c r="M16" s="9">
        <v>35</v>
      </c>
      <c r="N16" s="9">
        <f t="shared" si="3"/>
        <v>78</v>
      </c>
      <c r="O16" s="9">
        <v>40</v>
      </c>
      <c r="P16" s="69">
        <v>23</v>
      </c>
      <c r="Q16" s="9">
        <v>12</v>
      </c>
      <c r="R16" s="9">
        <f t="shared" si="4"/>
        <v>35</v>
      </c>
      <c r="S16" s="9">
        <v>20</v>
      </c>
      <c r="T16" s="9">
        <v>20</v>
      </c>
      <c r="U16" s="9">
        <v>22</v>
      </c>
      <c r="V16" s="9">
        <v>33</v>
      </c>
      <c r="W16" s="9">
        <f t="shared" si="5"/>
        <v>55</v>
      </c>
      <c r="X16" s="22">
        <v>38</v>
      </c>
      <c r="Y16" s="10">
        <v>38</v>
      </c>
      <c r="Z16" s="12">
        <f t="shared" si="6"/>
        <v>76</v>
      </c>
      <c r="AA16" s="26">
        <v>21</v>
      </c>
      <c r="AB16" s="5">
        <v>22</v>
      </c>
      <c r="AC16" s="9">
        <f t="shared" si="7"/>
        <v>43</v>
      </c>
      <c r="AD16" s="5">
        <v>21</v>
      </c>
      <c r="AE16" s="23">
        <v>18</v>
      </c>
      <c r="AF16" s="14">
        <v>18</v>
      </c>
      <c r="AG16" s="24">
        <f t="shared" si="8"/>
        <v>539</v>
      </c>
      <c r="AH16" s="25">
        <f t="shared" si="0"/>
        <v>63.411764705882355</v>
      </c>
      <c r="AI16" s="8" t="s">
        <v>331</v>
      </c>
      <c r="AJ16" s="14"/>
    </row>
    <row r="17" spans="1:36" ht="18" x14ac:dyDescent="0.3">
      <c r="A17" s="1">
        <v>11</v>
      </c>
      <c r="B17" s="19">
        <v>488025</v>
      </c>
      <c r="C17" s="20">
        <v>25410260127</v>
      </c>
      <c r="D17" s="8" t="s">
        <v>116</v>
      </c>
      <c r="E17" s="69">
        <v>60</v>
      </c>
      <c r="F17" s="5">
        <v>22</v>
      </c>
      <c r="G17" s="9">
        <f t="shared" si="1"/>
        <v>82</v>
      </c>
      <c r="H17" s="14">
        <v>17</v>
      </c>
      <c r="I17" s="69">
        <v>21</v>
      </c>
      <c r="J17" s="9">
        <v>29</v>
      </c>
      <c r="K17" s="9">
        <f t="shared" si="2"/>
        <v>50</v>
      </c>
      <c r="L17" s="9">
        <v>43</v>
      </c>
      <c r="M17" s="9">
        <v>46</v>
      </c>
      <c r="N17" s="9">
        <f t="shared" si="3"/>
        <v>89</v>
      </c>
      <c r="O17" s="9">
        <v>41</v>
      </c>
      <c r="P17" s="69">
        <v>45</v>
      </c>
      <c r="Q17" s="9">
        <v>21</v>
      </c>
      <c r="R17" s="9">
        <f t="shared" si="4"/>
        <v>66</v>
      </c>
      <c r="S17" s="9">
        <v>20</v>
      </c>
      <c r="T17" s="9">
        <v>21</v>
      </c>
      <c r="U17" s="9">
        <v>20</v>
      </c>
      <c r="V17" s="9">
        <v>36</v>
      </c>
      <c r="W17" s="9">
        <f t="shared" si="5"/>
        <v>56</v>
      </c>
      <c r="X17" s="22">
        <v>40</v>
      </c>
      <c r="Y17" s="10">
        <v>40</v>
      </c>
      <c r="Z17" s="12">
        <f t="shared" si="6"/>
        <v>80</v>
      </c>
      <c r="AA17" s="26">
        <v>20</v>
      </c>
      <c r="AB17" s="5">
        <v>20</v>
      </c>
      <c r="AC17" s="9">
        <f t="shared" si="7"/>
        <v>40</v>
      </c>
      <c r="AD17" s="5">
        <v>20</v>
      </c>
      <c r="AE17" s="23">
        <v>18</v>
      </c>
      <c r="AF17" s="14">
        <v>18</v>
      </c>
      <c r="AG17" s="24">
        <f t="shared" si="8"/>
        <v>618</v>
      </c>
      <c r="AH17" s="25">
        <f t="shared" si="0"/>
        <v>72.705882352941174</v>
      </c>
      <c r="AI17" s="8" t="s">
        <v>328</v>
      </c>
      <c r="AJ17" s="14"/>
    </row>
    <row r="18" spans="1:36" ht="18" x14ac:dyDescent="0.3">
      <c r="A18" s="1">
        <v>12</v>
      </c>
      <c r="B18" s="19">
        <v>488026</v>
      </c>
      <c r="C18" s="20">
        <v>25410260128</v>
      </c>
      <c r="D18" s="8" t="s">
        <v>117</v>
      </c>
      <c r="E18" s="69">
        <v>64</v>
      </c>
      <c r="F18" s="5">
        <v>26</v>
      </c>
      <c r="G18" s="9">
        <f t="shared" si="1"/>
        <v>90</v>
      </c>
      <c r="H18" s="14">
        <v>17</v>
      </c>
      <c r="I18" s="69">
        <v>33</v>
      </c>
      <c r="J18" s="9">
        <v>30</v>
      </c>
      <c r="K18" s="9">
        <f t="shared" si="2"/>
        <v>63</v>
      </c>
      <c r="L18" s="9">
        <v>45</v>
      </c>
      <c r="M18" s="9">
        <v>48</v>
      </c>
      <c r="N18" s="9">
        <f t="shared" si="3"/>
        <v>93</v>
      </c>
      <c r="O18" s="9">
        <v>41</v>
      </c>
      <c r="P18" s="69">
        <v>52</v>
      </c>
      <c r="Q18" s="9">
        <v>26</v>
      </c>
      <c r="R18" s="9">
        <f t="shared" si="4"/>
        <v>78</v>
      </c>
      <c r="S18" s="9">
        <v>23</v>
      </c>
      <c r="T18" s="9">
        <v>22</v>
      </c>
      <c r="U18" s="9">
        <v>34</v>
      </c>
      <c r="V18" s="9">
        <v>37</v>
      </c>
      <c r="W18" s="9">
        <f t="shared" si="5"/>
        <v>71</v>
      </c>
      <c r="X18" s="22">
        <v>44</v>
      </c>
      <c r="Y18" s="10">
        <v>44</v>
      </c>
      <c r="Z18" s="12">
        <f t="shared" si="6"/>
        <v>88</v>
      </c>
      <c r="AA18" s="26">
        <v>23</v>
      </c>
      <c r="AB18" s="5">
        <v>23</v>
      </c>
      <c r="AC18" s="9">
        <f t="shared" si="7"/>
        <v>46</v>
      </c>
      <c r="AD18" s="5">
        <v>23</v>
      </c>
      <c r="AE18" s="23">
        <v>18</v>
      </c>
      <c r="AF18" s="14">
        <v>19</v>
      </c>
      <c r="AG18" s="24">
        <f t="shared" si="8"/>
        <v>692</v>
      </c>
      <c r="AH18" s="25">
        <f t="shared" si="0"/>
        <v>81.411764705882348</v>
      </c>
      <c r="AI18" s="8" t="s">
        <v>329</v>
      </c>
      <c r="AJ18" s="14"/>
    </row>
    <row r="19" spans="1:36" ht="18" x14ac:dyDescent="0.3">
      <c r="A19" s="1">
        <v>13</v>
      </c>
      <c r="B19" s="19">
        <v>488027</v>
      </c>
      <c r="C19" s="20">
        <v>25410260129</v>
      </c>
      <c r="D19" s="8" t="s">
        <v>119</v>
      </c>
      <c r="E19" s="69">
        <v>41</v>
      </c>
      <c r="F19" s="5">
        <v>29</v>
      </c>
      <c r="G19" s="9">
        <f t="shared" si="1"/>
        <v>70</v>
      </c>
      <c r="H19" s="14">
        <v>18</v>
      </c>
      <c r="I19" s="69">
        <v>30</v>
      </c>
      <c r="J19" s="9">
        <v>29</v>
      </c>
      <c r="K19" s="9">
        <f t="shared" si="2"/>
        <v>59</v>
      </c>
      <c r="L19" s="9">
        <v>42</v>
      </c>
      <c r="M19" s="9">
        <v>47</v>
      </c>
      <c r="N19" s="9">
        <f t="shared" si="3"/>
        <v>89</v>
      </c>
      <c r="O19" s="9">
        <v>41</v>
      </c>
      <c r="P19" s="69">
        <v>45</v>
      </c>
      <c r="Q19" s="9">
        <v>28</v>
      </c>
      <c r="R19" s="9">
        <f t="shared" si="4"/>
        <v>73</v>
      </c>
      <c r="S19" s="9">
        <v>23</v>
      </c>
      <c r="T19" s="9">
        <v>21</v>
      </c>
      <c r="U19" s="9">
        <v>41</v>
      </c>
      <c r="V19" s="9">
        <v>43</v>
      </c>
      <c r="W19" s="9">
        <f t="shared" si="5"/>
        <v>84</v>
      </c>
      <c r="X19" s="22">
        <v>42</v>
      </c>
      <c r="Y19" s="10">
        <v>42</v>
      </c>
      <c r="Z19" s="12">
        <f t="shared" si="6"/>
        <v>84</v>
      </c>
      <c r="AA19" s="26">
        <v>23</v>
      </c>
      <c r="AB19" s="5">
        <v>23</v>
      </c>
      <c r="AC19" s="9">
        <f t="shared" si="7"/>
        <v>46</v>
      </c>
      <c r="AD19" s="5">
        <v>23</v>
      </c>
      <c r="AE19" s="23">
        <v>18</v>
      </c>
      <c r="AF19" s="14">
        <v>18</v>
      </c>
      <c r="AG19" s="24">
        <f t="shared" si="8"/>
        <v>667</v>
      </c>
      <c r="AH19" s="25">
        <f t="shared" si="0"/>
        <v>78.470588235294116</v>
      </c>
      <c r="AI19" s="8" t="s">
        <v>329</v>
      </c>
      <c r="AJ19" s="14"/>
    </row>
    <row r="20" spans="1:36" ht="18" x14ac:dyDescent="0.3">
      <c r="A20" s="1">
        <v>14</v>
      </c>
      <c r="B20" s="19">
        <v>488028</v>
      </c>
      <c r="C20" s="20">
        <v>25410260130</v>
      </c>
      <c r="D20" s="8" t="s">
        <v>120</v>
      </c>
      <c r="E20" s="69">
        <v>61</v>
      </c>
      <c r="F20" s="5">
        <v>20</v>
      </c>
      <c r="G20" s="9">
        <f t="shared" si="1"/>
        <v>81</v>
      </c>
      <c r="H20" s="14">
        <v>18</v>
      </c>
      <c r="I20" s="69">
        <v>21</v>
      </c>
      <c r="J20" s="9">
        <v>28</v>
      </c>
      <c r="K20" s="9">
        <f t="shared" si="2"/>
        <v>49</v>
      </c>
      <c r="L20" s="9">
        <v>41</v>
      </c>
      <c r="M20" s="9">
        <v>34</v>
      </c>
      <c r="N20" s="9">
        <f t="shared" si="3"/>
        <v>75</v>
      </c>
      <c r="O20" s="9">
        <v>40</v>
      </c>
      <c r="P20" s="69">
        <v>47</v>
      </c>
      <c r="Q20" s="9">
        <v>23</v>
      </c>
      <c r="R20" s="9">
        <f t="shared" si="4"/>
        <v>70</v>
      </c>
      <c r="S20" s="9">
        <v>20</v>
      </c>
      <c r="T20" s="9">
        <v>20</v>
      </c>
      <c r="U20" s="9">
        <v>20</v>
      </c>
      <c r="V20" s="9">
        <v>39</v>
      </c>
      <c r="W20" s="9">
        <f t="shared" si="5"/>
        <v>59</v>
      </c>
      <c r="X20" s="22">
        <v>44</v>
      </c>
      <c r="Y20" s="10">
        <v>44</v>
      </c>
      <c r="Z20" s="12">
        <f t="shared" si="6"/>
        <v>88</v>
      </c>
      <c r="AA20" s="26">
        <v>23</v>
      </c>
      <c r="AB20" s="5">
        <v>23</v>
      </c>
      <c r="AC20" s="9">
        <f t="shared" si="7"/>
        <v>46</v>
      </c>
      <c r="AD20" s="5">
        <v>23</v>
      </c>
      <c r="AE20" s="23">
        <v>18</v>
      </c>
      <c r="AF20" s="14">
        <v>20</v>
      </c>
      <c r="AG20" s="24">
        <f t="shared" si="8"/>
        <v>627</v>
      </c>
      <c r="AH20" s="25">
        <f t="shared" si="0"/>
        <v>73.764705882352942</v>
      </c>
      <c r="AI20" s="8" t="s">
        <v>328</v>
      </c>
      <c r="AJ20" s="14"/>
    </row>
    <row r="21" spans="1:36" ht="18" x14ac:dyDescent="0.3">
      <c r="A21" s="1">
        <v>15</v>
      </c>
      <c r="B21" s="19">
        <v>488029</v>
      </c>
      <c r="C21" s="20">
        <v>25410260131</v>
      </c>
      <c r="D21" s="8" t="s">
        <v>121</v>
      </c>
      <c r="E21" s="69" t="s">
        <v>105</v>
      </c>
      <c r="F21" s="5" t="s">
        <v>105</v>
      </c>
      <c r="G21" s="9">
        <f t="shared" si="1"/>
        <v>0</v>
      </c>
      <c r="H21" s="21" t="s">
        <v>105</v>
      </c>
      <c r="I21" s="69" t="s">
        <v>105</v>
      </c>
      <c r="J21" s="27" t="s">
        <v>105</v>
      </c>
      <c r="K21" s="9">
        <f t="shared" si="2"/>
        <v>0</v>
      </c>
      <c r="L21" s="9" t="s">
        <v>105</v>
      </c>
      <c r="M21" s="9" t="s">
        <v>105</v>
      </c>
      <c r="N21" s="9">
        <f t="shared" si="3"/>
        <v>0</v>
      </c>
      <c r="O21" s="9" t="s">
        <v>105</v>
      </c>
      <c r="P21" s="69">
        <v>36</v>
      </c>
      <c r="Q21" s="9">
        <v>10</v>
      </c>
      <c r="R21" s="9">
        <f t="shared" si="4"/>
        <v>46</v>
      </c>
      <c r="S21" s="9">
        <v>22</v>
      </c>
      <c r="T21" s="9">
        <v>21</v>
      </c>
      <c r="U21" s="9">
        <v>20</v>
      </c>
      <c r="V21" s="9">
        <v>42</v>
      </c>
      <c r="W21" s="9">
        <f t="shared" si="5"/>
        <v>62</v>
      </c>
      <c r="X21" s="22">
        <v>36</v>
      </c>
      <c r="Y21" s="10">
        <v>36</v>
      </c>
      <c r="Z21" s="12">
        <f t="shared" si="6"/>
        <v>72</v>
      </c>
      <c r="AA21" s="10" t="s">
        <v>105</v>
      </c>
      <c r="AB21" s="5" t="s">
        <v>105</v>
      </c>
      <c r="AC21" s="9">
        <f t="shared" si="7"/>
        <v>0</v>
      </c>
      <c r="AD21" s="5" t="s">
        <v>105</v>
      </c>
      <c r="AE21" s="23">
        <v>20</v>
      </c>
      <c r="AF21" s="14">
        <v>20</v>
      </c>
      <c r="AG21" s="24">
        <f t="shared" si="8"/>
        <v>263</v>
      </c>
      <c r="AH21" s="25">
        <f t="shared" si="0"/>
        <v>30.941176470588232</v>
      </c>
      <c r="AI21" s="8" t="s">
        <v>330</v>
      </c>
      <c r="AJ21" s="14"/>
    </row>
    <row r="22" spans="1:36" ht="18" x14ac:dyDescent="0.3">
      <c r="A22" s="1">
        <v>16</v>
      </c>
      <c r="B22" s="19">
        <v>488030</v>
      </c>
      <c r="C22" s="20">
        <v>25410260132</v>
      </c>
      <c r="D22" s="8" t="s">
        <v>122</v>
      </c>
      <c r="E22" s="69">
        <v>62</v>
      </c>
      <c r="F22" s="5">
        <v>26</v>
      </c>
      <c r="G22" s="9">
        <f t="shared" si="1"/>
        <v>88</v>
      </c>
      <c r="H22" s="14">
        <v>19</v>
      </c>
      <c r="I22" s="69">
        <v>27</v>
      </c>
      <c r="J22" s="9">
        <v>30</v>
      </c>
      <c r="K22" s="9">
        <f t="shared" si="2"/>
        <v>57</v>
      </c>
      <c r="L22" s="9">
        <v>45</v>
      </c>
      <c r="M22" s="9">
        <v>46</v>
      </c>
      <c r="N22" s="9">
        <f t="shared" si="3"/>
        <v>91</v>
      </c>
      <c r="O22" s="9">
        <v>42</v>
      </c>
      <c r="P22" s="69">
        <v>50</v>
      </c>
      <c r="Q22" s="9">
        <v>27</v>
      </c>
      <c r="R22" s="9">
        <f t="shared" si="4"/>
        <v>77</v>
      </c>
      <c r="S22" s="9">
        <v>22</v>
      </c>
      <c r="T22" s="9">
        <v>22</v>
      </c>
      <c r="U22" s="9">
        <v>30</v>
      </c>
      <c r="V22" s="9">
        <v>33</v>
      </c>
      <c r="W22" s="9">
        <f t="shared" si="5"/>
        <v>63</v>
      </c>
      <c r="X22" s="22">
        <v>40</v>
      </c>
      <c r="Y22" s="10">
        <v>40</v>
      </c>
      <c r="Z22" s="12">
        <f t="shared" si="6"/>
        <v>80</v>
      </c>
      <c r="AA22" s="26">
        <v>23</v>
      </c>
      <c r="AB22" s="5">
        <v>23</v>
      </c>
      <c r="AC22" s="9">
        <f t="shared" si="7"/>
        <v>46</v>
      </c>
      <c r="AD22" s="5">
        <v>23</v>
      </c>
      <c r="AE22" s="23">
        <v>18</v>
      </c>
      <c r="AF22" s="14">
        <v>18</v>
      </c>
      <c r="AG22" s="24">
        <f t="shared" si="8"/>
        <v>666</v>
      </c>
      <c r="AH22" s="25">
        <f t="shared" si="0"/>
        <v>78.352941176470594</v>
      </c>
      <c r="AI22" s="8" t="s">
        <v>329</v>
      </c>
      <c r="AJ22" s="14"/>
    </row>
    <row r="23" spans="1:36" ht="18" x14ac:dyDescent="0.3">
      <c r="A23" s="1">
        <v>17</v>
      </c>
      <c r="B23" s="19">
        <v>488031</v>
      </c>
      <c r="C23" s="20">
        <v>25410260133</v>
      </c>
      <c r="D23" s="8" t="s">
        <v>123</v>
      </c>
      <c r="E23" s="69">
        <v>44</v>
      </c>
      <c r="F23" s="5">
        <v>1</v>
      </c>
      <c r="G23" s="9">
        <f t="shared" si="1"/>
        <v>45</v>
      </c>
      <c r="H23" s="14">
        <v>17</v>
      </c>
      <c r="I23" s="69">
        <v>16</v>
      </c>
      <c r="J23" s="9">
        <v>10</v>
      </c>
      <c r="K23" s="9">
        <f t="shared" si="2"/>
        <v>26</v>
      </c>
      <c r="L23" s="9">
        <v>35</v>
      </c>
      <c r="M23" s="9">
        <v>40</v>
      </c>
      <c r="N23" s="9">
        <f t="shared" si="3"/>
        <v>75</v>
      </c>
      <c r="O23" s="9">
        <v>27</v>
      </c>
      <c r="P23" s="69">
        <v>45</v>
      </c>
      <c r="Q23" s="9">
        <v>12</v>
      </c>
      <c r="R23" s="9">
        <f t="shared" si="4"/>
        <v>57</v>
      </c>
      <c r="S23" s="9">
        <v>19</v>
      </c>
      <c r="T23" s="9">
        <v>22</v>
      </c>
      <c r="U23" s="9">
        <v>20</v>
      </c>
      <c r="V23" s="9">
        <v>32</v>
      </c>
      <c r="W23" s="9">
        <f t="shared" si="5"/>
        <v>52</v>
      </c>
      <c r="X23" s="22">
        <v>36</v>
      </c>
      <c r="Y23" s="10">
        <v>40</v>
      </c>
      <c r="Z23" s="12">
        <f t="shared" si="6"/>
        <v>76</v>
      </c>
      <c r="AA23" s="26">
        <v>23</v>
      </c>
      <c r="AB23" s="5">
        <v>23</v>
      </c>
      <c r="AC23" s="9">
        <f t="shared" si="7"/>
        <v>46</v>
      </c>
      <c r="AD23" s="5">
        <v>23</v>
      </c>
      <c r="AE23" s="23">
        <v>19</v>
      </c>
      <c r="AF23" s="14">
        <v>16</v>
      </c>
      <c r="AG23" s="24">
        <f t="shared" si="8"/>
        <v>520</v>
      </c>
      <c r="AH23" s="25">
        <f t="shared" si="0"/>
        <v>61.176470588235297</v>
      </c>
      <c r="AI23" s="8" t="s">
        <v>327</v>
      </c>
      <c r="AJ23" s="14"/>
    </row>
    <row r="24" spans="1:36" ht="18" x14ac:dyDescent="0.3">
      <c r="A24" s="1">
        <v>18</v>
      </c>
      <c r="B24" s="19">
        <v>488032</v>
      </c>
      <c r="C24" s="20">
        <v>25410260134</v>
      </c>
      <c r="D24" s="8" t="s">
        <v>124</v>
      </c>
      <c r="E24" s="69">
        <v>55</v>
      </c>
      <c r="F24" s="5">
        <v>10</v>
      </c>
      <c r="G24" s="9">
        <f t="shared" si="1"/>
        <v>65</v>
      </c>
      <c r="H24" s="14">
        <v>18</v>
      </c>
      <c r="I24" s="69">
        <v>20</v>
      </c>
      <c r="J24" s="9">
        <v>24</v>
      </c>
      <c r="K24" s="9">
        <f t="shared" si="2"/>
        <v>44</v>
      </c>
      <c r="L24" s="9">
        <v>37</v>
      </c>
      <c r="M24" s="9">
        <v>47</v>
      </c>
      <c r="N24" s="9">
        <f t="shared" si="3"/>
        <v>84</v>
      </c>
      <c r="O24" s="9">
        <v>34</v>
      </c>
      <c r="P24" s="69">
        <v>49</v>
      </c>
      <c r="Q24" s="9">
        <v>23</v>
      </c>
      <c r="R24" s="9">
        <f t="shared" si="4"/>
        <v>72</v>
      </c>
      <c r="S24" s="9">
        <v>22</v>
      </c>
      <c r="T24" s="9">
        <v>23</v>
      </c>
      <c r="U24" s="9">
        <v>20</v>
      </c>
      <c r="V24" s="9">
        <v>44</v>
      </c>
      <c r="W24" s="9">
        <f t="shared" si="5"/>
        <v>64</v>
      </c>
      <c r="X24" s="22">
        <v>42</v>
      </c>
      <c r="Y24" s="10">
        <v>42</v>
      </c>
      <c r="Z24" s="12">
        <f t="shared" si="6"/>
        <v>84</v>
      </c>
      <c r="AA24" s="26">
        <v>18</v>
      </c>
      <c r="AB24" s="5">
        <v>20</v>
      </c>
      <c r="AC24" s="9">
        <f t="shared" si="7"/>
        <v>38</v>
      </c>
      <c r="AD24" s="5">
        <v>20</v>
      </c>
      <c r="AE24" s="23">
        <v>18</v>
      </c>
      <c r="AF24" s="14">
        <v>18</v>
      </c>
      <c r="AG24" s="24">
        <f t="shared" si="8"/>
        <v>604</v>
      </c>
      <c r="AH24" s="25">
        <f t="shared" si="0"/>
        <v>71.058823529411768</v>
      </c>
      <c r="AI24" s="8" t="s">
        <v>328</v>
      </c>
      <c r="AJ24" s="14"/>
    </row>
    <row r="25" spans="1:36" ht="18" x14ac:dyDescent="0.3">
      <c r="A25" s="1">
        <v>19</v>
      </c>
      <c r="B25" s="19">
        <v>488033</v>
      </c>
      <c r="C25" s="20">
        <v>25410260135</v>
      </c>
      <c r="D25" s="8" t="s">
        <v>125</v>
      </c>
      <c r="E25" s="69">
        <v>28</v>
      </c>
      <c r="F25" s="5">
        <v>4</v>
      </c>
      <c r="G25" s="9">
        <f t="shared" si="1"/>
        <v>32</v>
      </c>
      <c r="H25" s="14">
        <v>17</v>
      </c>
      <c r="I25" s="69">
        <v>16</v>
      </c>
      <c r="J25" s="9">
        <v>17</v>
      </c>
      <c r="K25" s="9">
        <f t="shared" si="2"/>
        <v>33</v>
      </c>
      <c r="L25" s="9">
        <v>34</v>
      </c>
      <c r="M25" s="9">
        <v>46</v>
      </c>
      <c r="N25" s="9">
        <f t="shared" si="3"/>
        <v>80</v>
      </c>
      <c r="O25" s="9">
        <v>33</v>
      </c>
      <c r="P25" s="69">
        <v>45</v>
      </c>
      <c r="Q25" s="9">
        <v>15</v>
      </c>
      <c r="R25" s="9">
        <f t="shared" si="4"/>
        <v>60</v>
      </c>
      <c r="S25" s="9">
        <v>22</v>
      </c>
      <c r="T25" s="9">
        <v>21</v>
      </c>
      <c r="U25" s="9">
        <v>20</v>
      </c>
      <c r="V25" s="9">
        <v>34</v>
      </c>
      <c r="W25" s="9">
        <f t="shared" si="5"/>
        <v>54</v>
      </c>
      <c r="X25" s="22">
        <v>40</v>
      </c>
      <c r="Y25" s="10">
        <v>40</v>
      </c>
      <c r="Z25" s="12">
        <f t="shared" si="6"/>
        <v>80</v>
      </c>
      <c r="AA25" s="26">
        <v>20</v>
      </c>
      <c r="AB25" s="5">
        <v>20</v>
      </c>
      <c r="AC25" s="9">
        <f t="shared" si="7"/>
        <v>40</v>
      </c>
      <c r="AD25" s="5">
        <v>20</v>
      </c>
      <c r="AE25" s="23">
        <v>18</v>
      </c>
      <c r="AF25" s="14">
        <v>17</v>
      </c>
      <c r="AG25" s="24">
        <f t="shared" si="8"/>
        <v>527</v>
      </c>
      <c r="AH25" s="25">
        <f t="shared" si="0"/>
        <v>62</v>
      </c>
      <c r="AI25" s="8" t="s">
        <v>327</v>
      </c>
      <c r="AJ25" s="14"/>
    </row>
    <row r="26" spans="1:36" ht="18" x14ac:dyDescent="0.3">
      <c r="A26" s="1">
        <v>20</v>
      </c>
      <c r="B26" s="19">
        <v>488034</v>
      </c>
      <c r="C26" s="20">
        <v>25410260136</v>
      </c>
      <c r="D26" s="8" t="s">
        <v>126</v>
      </c>
      <c r="E26" s="69">
        <v>58</v>
      </c>
      <c r="F26" s="5">
        <v>21</v>
      </c>
      <c r="G26" s="9">
        <f t="shared" si="1"/>
        <v>79</v>
      </c>
      <c r="H26" s="14">
        <v>17</v>
      </c>
      <c r="I26" s="69">
        <v>36</v>
      </c>
      <c r="J26" s="9">
        <v>30</v>
      </c>
      <c r="K26" s="9">
        <f t="shared" si="2"/>
        <v>66</v>
      </c>
      <c r="L26" s="9">
        <v>45</v>
      </c>
      <c r="M26" s="9">
        <v>46</v>
      </c>
      <c r="N26" s="9">
        <f t="shared" si="3"/>
        <v>91</v>
      </c>
      <c r="O26" s="9">
        <v>39</v>
      </c>
      <c r="P26" s="69">
        <v>51</v>
      </c>
      <c r="Q26" s="9">
        <v>27</v>
      </c>
      <c r="R26" s="9">
        <f t="shared" si="4"/>
        <v>78</v>
      </c>
      <c r="S26" s="9">
        <v>23</v>
      </c>
      <c r="T26" s="9">
        <v>23</v>
      </c>
      <c r="U26" s="9">
        <v>44</v>
      </c>
      <c r="V26" s="9">
        <v>45</v>
      </c>
      <c r="W26" s="9">
        <f t="shared" si="5"/>
        <v>89</v>
      </c>
      <c r="X26" s="22">
        <v>44</v>
      </c>
      <c r="Y26" s="10">
        <v>44</v>
      </c>
      <c r="Z26" s="12">
        <f t="shared" si="6"/>
        <v>88</v>
      </c>
      <c r="AA26" s="26">
        <v>20</v>
      </c>
      <c r="AB26" s="5">
        <v>20</v>
      </c>
      <c r="AC26" s="9">
        <f t="shared" si="7"/>
        <v>40</v>
      </c>
      <c r="AD26" s="5">
        <v>20</v>
      </c>
      <c r="AE26" s="23">
        <v>18</v>
      </c>
      <c r="AF26" s="14">
        <v>18</v>
      </c>
      <c r="AG26" s="24">
        <f t="shared" si="8"/>
        <v>689</v>
      </c>
      <c r="AH26" s="25">
        <f t="shared" si="0"/>
        <v>81.058823529411768</v>
      </c>
      <c r="AI26" s="8" t="s">
        <v>329</v>
      </c>
      <c r="AJ26" s="14"/>
    </row>
    <row r="27" spans="1:36" ht="18" x14ac:dyDescent="0.35">
      <c r="A27" s="1">
        <v>21</v>
      </c>
      <c r="B27" s="19">
        <v>488035</v>
      </c>
      <c r="C27" s="20">
        <v>25410260137</v>
      </c>
      <c r="D27" s="8" t="s">
        <v>127</v>
      </c>
      <c r="E27" s="69">
        <v>38</v>
      </c>
      <c r="F27" s="5">
        <v>14</v>
      </c>
      <c r="G27" s="9">
        <f t="shared" si="1"/>
        <v>52</v>
      </c>
      <c r="H27" s="14">
        <v>19</v>
      </c>
      <c r="I27" s="69">
        <v>19</v>
      </c>
      <c r="J27" s="9">
        <v>26</v>
      </c>
      <c r="K27" s="9">
        <f t="shared" si="2"/>
        <v>45</v>
      </c>
      <c r="L27" s="9">
        <v>43</v>
      </c>
      <c r="M27" s="9">
        <v>35</v>
      </c>
      <c r="N27" s="9">
        <f t="shared" si="3"/>
        <v>78</v>
      </c>
      <c r="O27" s="9">
        <v>33</v>
      </c>
      <c r="P27" s="69">
        <v>30</v>
      </c>
      <c r="Q27" s="9">
        <v>19</v>
      </c>
      <c r="R27" s="9">
        <f t="shared" si="4"/>
        <v>49</v>
      </c>
      <c r="S27" s="9">
        <v>19</v>
      </c>
      <c r="T27" s="9">
        <v>22</v>
      </c>
      <c r="U27" s="9">
        <v>9</v>
      </c>
      <c r="V27" s="9">
        <v>34</v>
      </c>
      <c r="W27" s="9">
        <f t="shared" si="5"/>
        <v>43</v>
      </c>
      <c r="X27" s="28">
        <v>38</v>
      </c>
      <c r="Y27" s="10">
        <v>38</v>
      </c>
      <c r="Z27" s="12">
        <f t="shared" si="6"/>
        <v>76</v>
      </c>
      <c r="AA27" s="10">
        <v>22</v>
      </c>
      <c r="AB27" s="5">
        <v>21</v>
      </c>
      <c r="AC27" s="9">
        <f t="shared" si="7"/>
        <v>43</v>
      </c>
      <c r="AD27" s="5">
        <v>21</v>
      </c>
      <c r="AE27" s="23">
        <v>20</v>
      </c>
      <c r="AF27" s="14">
        <v>18</v>
      </c>
      <c r="AG27" s="24">
        <f t="shared" si="8"/>
        <v>538</v>
      </c>
      <c r="AH27" s="25">
        <f t="shared" si="0"/>
        <v>63.294117647058826</v>
      </c>
      <c r="AI27" s="8" t="s">
        <v>327</v>
      </c>
      <c r="AJ27" s="14"/>
    </row>
    <row r="28" spans="1:36" ht="18" x14ac:dyDescent="0.35">
      <c r="A28" s="1">
        <v>22</v>
      </c>
      <c r="B28" s="19">
        <v>488036</v>
      </c>
      <c r="C28" s="20">
        <v>25410260138</v>
      </c>
      <c r="D28" s="8" t="s">
        <v>128</v>
      </c>
      <c r="E28" s="69">
        <v>70</v>
      </c>
      <c r="F28" s="5">
        <v>30</v>
      </c>
      <c r="G28" s="9">
        <f t="shared" si="1"/>
        <v>100</v>
      </c>
      <c r="H28" s="14">
        <v>18</v>
      </c>
      <c r="I28" s="69">
        <v>34</v>
      </c>
      <c r="J28" s="9">
        <v>30</v>
      </c>
      <c r="K28" s="9">
        <f t="shared" si="2"/>
        <v>64</v>
      </c>
      <c r="L28" s="9">
        <v>41</v>
      </c>
      <c r="M28" s="9">
        <v>35</v>
      </c>
      <c r="N28" s="9">
        <f t="shared" si="3"/>
        <v>76</v>
      </c>
      <c r="O28" s="9">
        <v>42</v>
      </c>
      <c r="P28" s="69">
        <v>46</v>
      </c>
      <c r="Q28" s="9">
        <v>24</v>
      </c>
      <c r="R28" s="9">
        <f t="shared" si="4"/>
        <v>70</v>
      </c>
      <c r="S28" s="9">
        <v>23</v>
      </c>
      <c r="T28" s="9">
        <v>22</v>
      </c>
      <c r="U28" s="9">
        <v>42</v>
      </c>
      <c r="V28" s="9">
        <v>46</v>
      </c>
      <c r="W28" s="9">
        <f t="shared" si="5"/>
        <v>88</v>
      </c>
      <c r="X28" s="28">
        <v>40</v>
      </c>
      <c r="Y28" s="10">
        <v>40</v>
      </c>
      <c r="Z28" s="12">
        <f t="shared" si="6"/>
        <v>80</v>
      </c>
      <c r="AA28" s="26" t="s">
        <v>105</v>
      </c>
      <c r="AB28" s="5" t="s">
        <v>105</v>
      </c>
      <c r="AC28" s="9">
        <f t="shared" si="7"/>
        <v>0</v>
      </c>
      <c r="AD28" s="5" t="s">
        <v>105</v>
      </c>
      <c r="AE28" s="23">
        <v>20</v>
      </c>
      <c r="AF28" s="14">
        <v>18</v>
      </c>
      <c r="AG28" s="24">
        <f t="shared" si="8"/>
        <v>621</v>
      </c>
      <c r="AH28" s="25">
        <f t="shared" si="0"/>
        <v>73.058823529411768</v>
      </c>
      <c r="AI28" s="8" t="s">
        <v>330</v>
      </c>
      <c r="AJ28" s="14"/>
    </row>
    <row r="29" spans="1:36" ht="18" x14ac:dyDescent="0.35">
      <c r="A29" s="1">
        <v>23</v>
      </c>
      <c r="B29" s="19">
        <v>488037</v>
      </c>
      <c r="C29" s="20">
        <v>25410260139</v>
      </c>
      <c r="D29" s="8" t="s">
        <v>129</v>
      </c>
      <c r="E29" s="69">
        <v>57</v>
      </c>
      <c r="F29" s="5">
        <v>16</v>
      </c>
      <c r="G29" s="9">
        <f t="shared" si="1"/>
        <v>73</v>
      </c>
      <c r="H29" s="14">
        <v>17</v>
      </c>
      <c r="I29" s="69">
        <v>24</v>
      </c>
      <c r="J29" s="9">
        <v>26</v>
      </c>
      <c r="K29" s="9">
        <f t="shared" si="2"/>
        <v>50</v>
      </c>
      <c r="L29" s="9">
        <v>41</v>
      </c>
      <c r="M29" s="9">
        <v>47</v>
      </c>
      <c r="N29" s="9">
        <f t="shared" si="3"/>
        <v>88</v>
      </c>
      <c r="O29" s="9">
        <v>37</v>
      </c>
      <c r="P29" s="69">
        <v>50</v>
      </c>
      <c r="Q29" s="9">
        <v>19</v>
      </c>
      <c r="R29" s="9">
        <f t="shared" si="4"/>
        <v>69</v>
      </c>
      <c r="S29" s="9">
        <v>22</v>
      </c>
      <c r="T29" s="9">
        <v>22</v>
      </c>
      <c r="U29" s="9">
        <v>20</v>
      </c>
      <c r="V29" s="9">
        <v>43</v>
      </c>
      <c r="W29" s="9">
        <f t="shared" si="5"/>
        <v>63</v>
      </c>
      <c r="X29" s="28">
        <v>40</v>
      </c>
      <c r="Y29" s="10">
        <v>40</v>
      </c>
      <c r="Z29" s="12">
        <f t="shared" si="6"/>
        <v>80</v>
      </c>
      <c r="AA29" s="26">
        <v>20</v>
      </c>
      <c r="AB29" s="5">
        <v>20</v>
      </c>
      <c r="AC29" s="9">
        <f t="shared" si="7"/>
        <v>40</v>
      </c>
      <c r="AD29" s="5">
        <v>20</v>
      </c>
      <c r="AE29" s="23">
        <v>18</v>
      </c>
      <c r="AF29" s="14">
        <v>18</v>
      </c>
      <c r="AG29" s="24">
        <f t="shared" si="8"/>
        <v>617</v>
      </c>
      <c r="AH29" s="25">
        <f t="shared" si="0"/>
        <v>72.588235294117638</v>
      </c>
      <c r="AI29" s="8" t="s">
        <v>332</v>
      </c>
      <c r="AJ29" s="14"/>
    </row>
    <row r="30" spans="1:36" ht="18" x14ac:dyDescent="0.35">
      <c r="A30" s="1">
        <v>24</v>
      </c>
      <c r="B30" s="19">
        <v>488038</v>
      </c>
      <c r="C30" s="20">
        <v>25410260140</v>
      </c>
      <c r="D30" s="8" t="s">
        <v>130</v>
      </c>
      <c r="E30" s="69">
        <v>42</v>
      </c>
      <c r="F30" s="5">
        <v>17</v>
      </c>
      <c r="G30" s="9">
        <f t="shared" si="1"/>
        <v>59</v>
      </c>
      <c r="H30" s="14">
        <v>17</v>
      </c>
      <c r="I30" s="69">
        <v>18</v>
      </c>
      <c r="J30" s="9">
        <v>24</v>
      </c>
      <c r="K30" s="9">
        <f t="shared" si="2"/>
        <v>42</v>
      </c>
      <c r="L30" s="9">
        <v>42</v>
      </c>
      <c r="M30" s="9">
        <v>47</v>
      </c>
      <c r="N30" s="9">
        <f t="shared" si="3"/>
        <v>89</v>
      </c>
      <c r="O30" s="9">
        <v>38</v>
      </c>
      <c r="P30" s="69">
        <v>36</v>
      </c>
      <c r="Q30" s="9">
        <v>20</v>
      </c>
      <c r="R30" s="9">
        <f t="shared" si="4"/>
        <v>56</v>
      </c>
      <c r="S30" s="9">
        <v>21</v>
      </c>
      <c r="T30" s="9">
        <v>21</v>
      </c>
      <c r="U30" s="9">
        <v>9</v>
      </c>
      <c r="V30" s="9">
        <v>31</v>
      </c>
      <c r="W30" s="9">
        <f t="shared" si="5"/>
        <v>40</v>
      </c>
      <c r="X30" s="28">
        <v>40</v>
      </c>
      <c r="Y30" s="10">
        <v>40</v>
      </c>
      <c r="Z30" s="12">
        <f t="shared" si="6"/>
        <v>80</v>
      </c>
      <c r="AA30" s="26">
        <v>20</v>
      </c>
      <c r="AB30" s="5">
        <v>20</v>
      </c>
      <c r="AC30" s="9">
        <f t="shared" si="7"/>
        <v>40</v>
      </c>
      <c r="AD30" s="5">
        <v>20</v>
      </c>
      <c r="AE30" s="23">
        <v>18</v>
      </c>
      <c r="AF30" s="14">
        <v>18</v>
      </c>
      <c r="AG30" s="24">
        <f t="shared" si="8"/>
        <v>559</v>
      </c>
      <c r="AH30" s="25">
        <f t="shared" si="0"/>
        <v>65.764705882352942</v>
      </c>
      <c r="AI30" s="8" t="s">
        <v>327</v>
      </c>
      <c r="AJ30" s="14"/>
    </row>
    <row r="31" spans="1:36" ht="18" x14ac:dyDescent="0.35">
      <c r="A31" s="1">
        <v>25</v>
      </c>
      <c r="B31" s="19">
        <v>488039</v>
      </c>
      <c r="C31" s="20">
        <v>25410260141</v>
      </c>
      <c r="D31" s="8" t="s">
        <v>131</v>
      </c>
      <c r="E31" s="69">
        <v>41</v>
      </c>
      <c r="F31" s="5">
        <v>14</v>
      </c>
      <c r="G31" s="9">
        <f t="shared" si="1"/>
        <v>55</v>
      </c>
      <c r="H31" s="14">
        <v>18</v>
      </c>
      <c r="I31" s="69">
        <v>29</v>
      </c>
      <c r="J31" s="9">
        <v>24</v>
      </c>
      <c r="K31" s="9">
        <f t="shared" si="2"/>
        <v>53</v>
      </c>
      <c r="L31" s="9">
        <v>41</v>
      </c>
      <c r="M31" s="9">
        <v>35</v>
      </c>
      <c r="N31" s="9">
        <f t="shared" si="3"/>
        <v>76</v>
      </c>
      <c r="O31" s="9">
        <v>38</v>
      </c>
      <c r="P31" s="69">
        <v>38</v>
      </c>
      <c r="Q31" s="9">
        <v>15</v>
      </c>
      <c r="R31" s="9">
        <f t="shared" si="4"/>
        <v>53</v>
      </c>
      <c r="S31" s="9">
        <v>18</v>
      </c>
      <c r="T31" s="9">
        <v>21</v>
      </c>
      <c r="U31" s="9">
        <v>21</v>
      </c>
      <c r="V31" s="9">
        <v>39</v>
      </c>
      <c r="W31" s="9">
        <f t="shared" si="5"/>
        <v>60</v>
      </c>
      <c r="X31" s="28">
        <v>40</v>
      </c>
      <c r="Y31" s="10">
        <v>40</v>
      </c>
      <c r="Z31" s="12">
        <f t="shared" si="6"/>
        <v>80</v>
      </c>
      <c r="AA31" s="26">
        <v>22</v>
      </c>
      <c r="AB31" s="5">
        <v>22</v>
      </c>
      <c r="AC31" s="9">
        <f t="shared" si="7"/>
        <v>44</v>
      </c>
      <c r="AD31" s="5">
        <v>22</v>
      </c>
      <c r="AE31" s="23">
        <v>19</v>
      </c>
      <c r="AF31" s="14">
        <v>17</v>
      </c>
      <c r="AG31" s="24">
        <f t="shared" si="8"/>
        <v>574</v>
      </c>
      <c r="AH31" s="25">
        <f t="shared" si="0"/>
        <v>67.529411764705884</v>
      </c>
      <c r="AI31" s="8" t="s">
        <v>332</v>
      </c>
      <c r="AJ31" s="14"/>
    </row>
    <row r="32" spans="1:36" ht="18" x14ac:dyDescent="0.35">
      <c r="A32" s="1">
        <v>26</v>
      </c>
      <c r="B32" s="19">
        <v>488040</v>
      </c>
      <c r="C32" s="20">
        <v>25410260142</v>
      </c>
      <c r="D32" s="8" t="s">
        <v>132</v>
      </c>
      <c r="E32" s="69">
        <v>67</v>
      </c>
      <c r="F32" s="5">
        <v>26</v>
      </c>
      <c r="G32" s="9">
        <f t="shared" si="1"/>
        <v>93</v>
      </c>
      <c r="H32" s="14">
        <v>18</v>
      </c>
      <c r="I32" s="69">
        <v>21</v>
      </c>
      <c r="J32" s="9">
        <v>27</v>
      </c>
      <c r="K32" s="9">
        <f t="shared" si="2"/>
        <v>48</v>
      </c>
      <c r="L32" s="9">
        <v>39</v>
      </c>
      <c r="M32" s="9">
        <v>45</v>
      </c>
      <c r="N32" s="9">
        <f t="shared" si="3"/>
        <v>84</v>
      </c>
      <c r="O32" s="9">
        <v>38</v>
      </c>
      <c r="P32" s="69">
        <v>51</v>
      </c>
      <c r="Q32" s="9">
        <v>24</v>
      </c>
      <c r="R32" s="9">
        <f t="shared" si="4"/>
        <v>75</v>
      </c>
      <c r="S32" s="9">
        <v>20</v>
      </c>
      <c r="T32" s="9">
        <v>22</v>
      </c>
      <c r="U32" s="9">
        <v>26</v>
      </c>
      <c r="V32" s="9">
        <v>37</v>
      </c>
      <c r="W32" s="9">
        <f t="shared" si="5"/>
        <v>63</v>
      </c>
      <c r="X32" s="28">
        <v>42</v>
      </c>
      <c r="Y32" s="10">
        <v>42</v>
      </c>
      <c r="Z32" s="12">
        <f t="shared" si="6"/>
        <v>84</v>
      </c>
      <c r="AA32" s="26">
        <v>20</v>
      </c>
      <c r="AB32" s="5">
        <v>20</v>
      </c>
      <c r="AC32" s="9">
        <f t="shared" si="7"/>
        <v>40</v>
      </c>
      <c r="AD32" s="5">
        <v>20</v>
      </c>
      <c r="AE32" s="23">
        <v>18</v>
      </c>
      <c r="AF32" s="14">
        <v>17</v>
      </c>
      <c r="AG32" s="24">
        <f t="shared" si="8"/>
        <v>640</v>
      </c>
      <c r="AH32" s="25">
        <f t="shared" si="0"/>
        <v>75.294117647058826</v>
      </c>
      <c r="AI32" s="8" t="s">
        <v>329</v>
      </c>
      <c r="AJ32" s="14"/>
    </row>
    <row r="33" spans="1:36" ht="18" x14ac:dyDescent="0.35">
      <c r="A33" s="1">
        <v>27</v>
      </c>
      <c r="B33" s="19">
        <v>488041</v>
      </c>
      <c r="C33" s="20">
        <v>25410260143</v>
      </c>
      <c r="D33" s="8" t="s">
        <v>133</v>
      </c>
      <c r="E33" s="69">
        <v>67</v>
      </c>
      <c r="F33" s="5">
        <v>29</v>
      </c>
      <c r="G33" s="9">
        <f t="shared" si="1"/>
        <v>96</v>
      </c>
      <c r="H33" s="14">
        <v>18</v>
      </c>
      <c r="I33" s="69">
        <v>26</v>
      </c>
      <c r="J33" s="9">
        <v>29</v>
      </c>
      <c r="K33" s="9">
        <f t="shared" si="2"/>
        <v>55</v>
      </c>
      <c r="L33" s="9">
        <v>45</v>
      </c>
      <c r="M33" s="9">
        <v>46</v>
      </c>
      <c r="N33" s="9">
        <f t="shared" si="3"/>
        <v>91</v>
      </c>
      <c r="O33" s="9">
        <v>41</v>
      </c>
      <c r="P33" s="69">
        <v>49</v>
      </c>
      <c r="Q33" s="9">
        <v>27</v>
      </c>
      <c r="R33" s="9">
        <f t="shared" si="4"/>
        <v>76</v>
      </c>
      <c r="S33" s="9">
        <v>23</v>
      </c>
      <c r="T33" s="9">
        <v>22</v>
      </c>
      <c r="U33" s="9">
        <v>25</v>
      </c>
      <c r="V33" s="9">
        <v>46</v>
      </c>
      <c r="W33" s="9">
        <f t="shared" si="5"/>
        <v>71</v>
      </c>
      <c r="X33" s="28">
        <v>44</v>
      </c>
      <c r="Y33" s="10">
        <v>44</v>
      </c>
      <c r="Z33" s="12">
        <f t="shared" si="6"/>
        <v>88</v>
      </c>
      <c r="AA33" s="26">
        <v>22</v>
      </c>
      <c r="AB33" s="5">
        <v>22</v>
      </c>
      <c r="AC33" s="9">
        <f t="shared" si="7"/>
        <v>44</v>
      </c>
      <c r="AD33" s="5">
        <v>22</v>
      </c>
      <c r="AE33" s="23">
        <v>18</v>
      </c>
      <c r="AF33" s="14">
        <v>18</v>
      </c>
      <c r="AG33" s="24">
        <f t="shared" si="8"/>
        <v>683</v>
      </c>
      <c r="AH33" s="25">
        <f t="shared" si="0"/>
        <v>80.352941176470594</v>
      </c>
      <c r="AI33" s="8" t="s">
        <v>329</v>
      </c>
      <c r="AJ33" s="14"/>
    </row>
    <row r="34" spans="1:36" ht="18" x14ac:dyDescent="0.35">
      <c r="A34" s="1">
        <v>28</v>
      </c>
      <c r="B34" s="19">
        <v>488042</v>
      </c>
      <c r="C34" s="20">
        <v>25410260144</v>
      </c>
      <c r="D34" s="8" t="s">
        <v>134</v>
      </c>
      <c r="E34" s="69">
        <v>24</v>
      </c>
      <c r="F34" s="5">
        <v>20</v>
      </c>
      <c r="G34" s="9">
        <f t="shared" si="1"/>
        <v>44</v>
      </c>
      <c r="H34" s="21">
        <v>18</v>
      </c>
      <c r="I34" s="69" t="s">
        <v>105</v>
      </c>
      <c r="J34" s="27" t="s">
        <v>105</v>
      </c>
      <c r="K34" s="9">
        <f t="shared" si="2"/>
        <v>0</v>
      </c>
      <c r="L34" s="9" t="s">
        <v>105</v>
      </c>
      <c r="M34" s="9" t="s">
        <v>105</v>
      </c>
      <c r="N34" s="9">
        <f t="shared" si="3"/>
        <v>0</v>
      </c>
      <c r="O34" s="9" t="s">
        <v>105</v>
      </c>
      <c r="P34" s="69">
        <v>46</v>
      </c>
      <c r="Q34" s="9">
        <v>25</v>
      </c>
      <c r="R34" s="9">
        <f t="shared" si="4"/>
        <v>71</v>
      </c>
      <c r="S34" s="9">
        <v>22</v>
      </c>
      <c r="T34" s="9">
        <v>23</v>
      </c>
      <c r="U34" s="9">
        <v>25</v>
      </c>
      <c r="V34" s="9">
        <v>37</v>
      </c>
      <c r="W34" s="9">
        <f t="shared" si="5"/>
        <v>62</v>
      </c>
      <c r="X34" s="28">
        <v>44</v>
      </c>
      <c r="Y34" s="10">
        <v>44</v>
      </c>
      <c r="Z34" s="12">
        <f t="shared" si="6"/>
        <v>88</v>
      </c>
      <c r="AA34" s="26">
        <v>21</v>
      </c>
      <c r="AB34" s="5">
        <v>22</v>
      </c>
      <c r="AC34" s="9">
        <f t="shared" si="7"/>
        <v>43</v>
      </c>
      <c r="AD34" s="5">
        <v>21</v>
      </c>
      <c r="AE34" s="23">
        <v>18</v>
      </c>
      <c r="AF34" s="14">
        <v>20</v>
      </c>
      <c r="AG34" s="24">
        <f t="shared" si="8"/>
        <v>430</v>
      </c>
      <c r="AH34" s="25">
        <f t="shared" si="0"/>
        <v>50.588235294117645</v>
      </c>
      <c r="AI34" s="8" t="s">
        <v>330</v>
      </c>
      <c r="AJ34" s="14"/>
    </row>
    <row r="35" spans="1:36" ht="15.6" x14ac:dyDescent="0.3">
      <c r="A35" s="1">
        <v>29</v>
      </c>
      <c r="B35" s="19">
        <v>488043</v>
      </c>
      <c r="C35" s="20">
        <v>25410260145</v>
      </c>
      <c r="D35" s="8" t="s">
        <v>135</v>
      </c>
      <c r="E35" s="71" t="s">
        <v>118</v>
      </c>
      <c r="F35" s="5">
        <v>10</v>
      </c>
      <c r="G35" s="9">
        <f t="shared" si="1"/>
        <v>10</v>
      </c>
      <c r="H35" s="21"/>
      <c r="I35" s="69"/>
      <c r="J35" s="27">
        <v>12</v>
      </c>
      <c r="K35" s="9">
        <f t="shared" si="2"/>
        <v>12</v>
      </c>
      <c r="L35" s="9" t="s">
        <v>105</v>
      </c>
      <c r="M35" s="9" t="s">
        <v>105</v>
      </c>
      <c r="N35" s="9">
        <f t="shared" si="3"/>
        <v>0</v>
      </c>
      <c r="O35" s="9">
        <v>41</v>
      </c>
      <c r="P35" s="69"/>
      <c r="Q35" s="9">
        <v>25</v>
      </c>
      <c r="R35" s="9">
        <f t="shared" si="4"/>
        <v>25</v>
      </c>
      <c r="S35" s="9">
        <v>0</v>
      </c>
      <c r="T35" s="9">
        <v>0</v>
      </c>
      <c r="U35" s="10" t="s">
        <v>118</v>
      </c>
      <c r="V35" s="9"/>
      <c r="W35" s="10" t="s">
        <v>118</v>
      </c>
      <c r="X35" s="10" t="s">
        <v>118</v>
      </c>
      <c r="Y35" s="10" t="s">
        <v>118</v>
      </c>
      <c r="Z35" s="12">
        <f t="shared" si="6"/>
        <v>0</v>
      </c>
      <c r="AA35" s="10" t="s">
        <v>118</v>
      </c>
      <c r="AB35" s="5" t="s">
        <v>118</v>
      </c>
      <c r="AC35" s="9">
        <f t="shared" si="7"/>
        <v>0</v>
      </c>
      <c r="AD35" s="5" t="s">
        <v>118</v>
      </c>
      <c r="AE35" s="23" t="s">
        <v>105</v>
      </c>
      <c r="AF35" s="14" t="s">
        <v>118</v>
      </c>
      <c r="AG35" s="24">
        <f t="shared" si="8"/>
        <v>88</v>
      </c>
      <c r="AH35" s="25">
        <f t="shared" si="0"/>
        <v>10.352941176470589</v>
      </c>
      <c r="AI35" s="8"/>
      <c r="AJ35" s="14"/>
    </row>
    <row r="36" spans="1:36" ht="18" x14ac:dyDescent="0.35">
      <c r="A36" s="1">
        <v>30</v>
      </c>
      <c r="B36" s="19">
        <v>488044</v>
      </c>
      <c r="C36" s="20">
        <v>25410260146</v>
      </c>
      <c r="D36" s="8" t="s">
        <v>136</v>
      </c>
      <c r="E36" s="69">
        <v>53</v>
      </c>
      <c r="F36" s="5">
        <v>23</v>
      </c>
      <c r="G36" s="9">
        <f t="shared" si="1"/>
        <v>76</v>
      </c>
      <c r="H36" s="14">
        <v>17</v>
      </c>
      <c r="I36" s="69">
        <v>19</v>
      </c>
      <c r="J36" s="9">
        <v>28</v>
      </c>
      <c r="K36" s="9">
        <f t="shared" si="2"/>
        <v>47</v>
      </c>
      <c r="L36" s="9">
        <v>41</v>
      </c>
      <c r="M36" s="9">
        <v>46</v>
      </c>
      <c r="N36" s="9">
        <f t="shared" si="3"/>
        <v>87</v>
      </c>
      <c r="O36" s="9">
        <v>41</v>
      </c>
      <c r="P36" s="69">
        <v>43</v>
      </c>
      <c r="Q36" s="9">
        <v>18</v>
      </c>
      <c r="R36" s="9">
        <f t="shared" si="4"/>
        <v>61</v>
      </c>
      <c r="S36" s="9">
        <v>19</v>
      </c>
      <c r="T36" s="9">
        <v>21</v>
      </c>
      <c r="U36" s="9">
        <v>11</v>
      </c>
      <c r="V36" s="9">
        <v>37</v>
      </c>
      <c r="W36" s="9">
        <f t="shared" si="5"/>
        <v>48</v>
      </c>
      <c r="X36" s="28">
        <v>40</v>
      </c>
      <c r="Y36" s="10">
        <v>40</v>
      </c>
      <c r="Z36" s="12">
        <f t="shared" si="6"/>
        <v>80</v>
      </c>
      <c r="AA36" s="26">
        <v>19</v>
      </c>
      <c r="AB36" s="5">
        <v>20</v>
      </c>
      <c r="AC36" s="9">
        <f t="shared" si="7"/>
        <v>39</v>
      </c>
      <c r="AD36" s="5">
        <v>20</v>
      </c>
      <c r="AE36" s="23">
        <v>18</v>
      </c>
      <c r="AF36" s="14">
        <v>18</v>
      </c>
      <c r="AG36" s="24">
        <f t="shared" si="8"/>
        <v>592</v>
      </c>
      <c r="AH36" s="25">
        <f t="shared" si="0"/>
        <v>69.647058823529406</v>
      </c>
      <c r="AI36" s="8" t="s">
        <v>331</v>
      </c>
      <c r="AJ36" s="14"/>
    </row>
    <row r="37" spans="1:36" ht="18" x14ac:dyDescent="0.35">
      <c r="A37" s="1">
        <v>31</v>
      </c>
      <c r="B37" s="19">
        <v>488045</v>
      </c>
      <c r="C37" s="20">
        <v>25410260147</v>
      </c>
      <c r="D37" s="8" t="s">
        <v>137</v>
      </c>
      <c r="E37" s="69">
        <v>44</v>
      </c>
      <c r="F37" s="5">
        <v>18</v>
      </c>
      <c r="G37" s="9">
        <f t="shared" si="1"/>
        <v>62</v>
      </c>
      <c r="H37" s="14">
        <v>17</v>
      </c>
      <c r="I37" s="69">
        <v>27</v>
      </c>
      <c r="J37" s="9">
        <v>26</v>
      </c>
      <c r="K37" s="9">
        <f t="shared" si="2"/>
        <v>53</v>
      </c>
      <c r="L37" s="9">
        <v>40</v>
      </c>
      <c r="M37" s="9">
        <v>47</v>
      </c>
      <c r="N37" s="9">
        <f t="shared" si="3"/>
        <v>87</v>
      </c>
      <c r="O37" s="9">
        <v>41</v>
      </c>
      <c r="P37" s="69">
        <v>43</v>
      </c>
      <c r="Q37" s="9">
        <v>21</v>
      </c>
      <c r="R37" s="9">
        <f t="shared" si="4"/>
        <v>64</v>
      </c>
      <c r="S37" s="9">
        <v>21</v>
      </c>
      <c r="T37" s="9">
        <v>21</v>
      </c>
      <c r="U37" s="9">
        <v>14</v>
      </c>
      <c r="V37" s="9">
        <v>42</v>
      </c>
      <c r="W37" s="9">
        <f t="shared" si="5"/>
        <v>56</v>
      </c>
      <c r="X37" s="28">
        <v>42</v>
      </c>
      <c r="Y37" s="10">
        <v>42</v>
      </c>
      <c r="Z37" s="12">
        <f t="shared" si="6"/>
        <v>84</v>
      </c>
      <c r="AA37" s="26">
        <v>20</v>
      </c>
      <c r="AB37" s="5">
        <v>20</v>
      </c>
      <c r="AC37" s="9">
        <f t="shared" si="7"/>
        <v>40</v>
      </c>
      <c r="AD37" s="5">
        <v>20</v>
      </c>
      <c r="AE37" s="23">
        <v>18</v>
      </c>
      <c r="AF37" s="14">
        <v>18</v>
      </c>
      <c r="AG37" s="24">
        <f t="shared" si="8"/>
        <v>602</v>
      </c>
      <c r="AH37" s="25">
        <f t="shared" si="0"/>
        <v>70.82352941176471</v>
      </c>
      <c r="AI37" s="8" t="s">
        <v>331</v>
      </c>
      <c r="AJ37" s="14"/>
    </row>
    <row r="38" spans="1:36" ht="18" x14ac:dyDescent="0.35">
      <c r="A38" s="1">
        <v>32</v>
      </c>
      <c r="B38" s="19">
        <v>488046</v>
      </c>
      <c r="C38" s="20">
        <v>25410260148</v>
      </c>
      <c r="D38" s="8" t="s">
        <v>138</v>
      </c>
      <c r="E38" s="69">
        <v>57</v>
      </c>
      <c r="F38" s="5">
        <v>21</v>
      </c>
      <c r="G38" s="9">
        <f t="shared" si="1"/>
        <v>78</v>
      </c>
      <c r="H38" s="14">
        <v>18</v>
      </c>
      <c r="I38" s="69">
        <v>20</v>
      </c>
      <c r="J38" s="9">
        <v>29</v>
      </c>
      <c r="K38" s="9">
        <f t="shared" si="2"/>
        <v>49</v>
      </c>
      <c r="L38" s="9">
        <v>43</v>
      </c>
      <c r="M38" s="9">
        <v>47</v>
      </c>
      <c r="N38" s="9">
        <f t="shared" si="3"/>
        <v>90</v>
      </c>
      <c r="O38" s="9">
        <v>41</v>
      </c>
      <c r="P38" s="69">
        <v>47</v>
      </c>
      <c r="Q38" s="9">
        <v>26</v>
      </c>
      <c r="R38" s="9">
        <f t="shared" si="4"/>
        <v>73</v>
      </c>
      <c r="S38" s="9">
        <v>21</v>
      </c>
      <c r="T38" s="9">
        <v>21</v>
      </c>
      <c r="U38" s="9">
        <v>32</v>
      </c>
      <c r="V38" s="9">
        <v>45</v>
      </c>
      <c r="W38" s="9">
        <f t="shared" si="5"/>
        <v>77</v>
      </c>
      <c r="X38" s="28">
        <v>42</v>
      </c>
      <c r="Y38" s="10">
        <v>42</v>
      </c>
      <c r="Z38" s="12">
        <f t="shared" si="6"/>
        <v>84</v>
      </c>
      <c r="AA38" s="26">
        <v>20</v>
      </c>
      <c r="AB38" s="5">
        <v>19</v>
      </c>
      <c r="AC38" s="9">
        <f t="shared" si="7"/>
        <v>39</v>
      </c>
      <c r="AD38" s="5">
        <v>20</v>
      </c>
      <c r="AE38" s="23">
        <v>18</v>
      </c>
      <c r="AF38" s="14">
        <v>18</v>
      </c>
      <c r="AG38" s="24">
        <f t="shared" si="8"/>
        <v>647</v>
      </c>
      <c r="AH38" s="25">
        <f t="shared" si="0"/>
        <v>76.117647058823536</v>
      </c>
      <c r="AI38" s="8" t="s">
        <v>329</v>
      </c>
      <c r="AJ38" s="14"/>
    </row>
    <row r="39" spans="1:36" ht="18" x14ac:dyDescent="0.35">
      <c r="A39" s="1">
        <v>33</v>
      </c>
      <c r="B39" s="19">
        <v>488047</v>
      </c>
      <c r="C39" s="20">
        <v>25410260149</v>
      </c>
      <c r="D39" s="8" t="s">
        <v>139</v>
      </c>
      <c r="E39" s="69">
        <v>48</v>
      </c>
      <c r="F39" s="5">
        <v>21</v>
      </c>
      <c r="G39" s="9">
        <f t="shared" si="1"/>
        <v>69</v>
      </c>
      <c r="H39" s="14">
        <v>18</v>
      </c>
      <c r="I39" s="69">
        <v>31</v>
      </c>
      <c r="J39" s="9">
        <v>29</v>
      </c>
      <c r="K39" s="9">
        <f t="shared" si="2"/>
        <v>60</v>
      </c>
      <c r="L39" s="9">
        <v>43</v>
      </c>
      <c r="M39" s="9">
        <v>45</v>
      </c>
      <c r="N39" s="9">
        <f t="shared" si="3"/>
        <v>88</v>
      </c>
      <c r="O39" s="9">
        <v>41</v>
      </c>
      <c r="P39" s="69">
        <v>48</v>
      </c>
      <c r="Q39" s="9">
        <v>25</v>
      </c>
      <c r="R39" s="9">
        <f t="shared" si="4"/>
        <v>73</v>
      </c>
      <c r="S39" s="9">
        <v>17</v>
      </c>
      <c r="T39" s="9">
        <v>18</v>
      </c>
      <c r="U39" s="9">
        <v>25</v>
      </c>
      <c r="V39" s="9">
        <v>38</v>
      </c>
      <c r="W39" s="9">
        <f t="shared" si="5"/>
        <v>63</v>
      </c>
      <c r="X39" s="28">
        <v>44</v>
      </c>
      <c r="Y39" s="10">
        <v>44</v>
      </c>
      <c r="Z39" s="12">
        <f t="shared" si="6"/>
        <v>88</v>
      </c>
      <c r="AA39" s="26">
        <v>23</v>
      </c>
      <c r="AB39" s="5">
        <v>23</v>
      </c>
      <c r="AC39" s="9">
        <f t="shared" si="7"/>
        <v>46</v>
      </c>
      <c r="AD39" s="5">
        <v>23</v>
      </c>
      <c r="AE39" s="23">
        <v>20</v>
      </c>
      <c r="AF39" s="14">
        <v>18</v>
      </c>
      <c r="AG39" s="24">
        <f t="shared" si="8"/>
        <v>642</v>
      </c>
      <c r="AH39" s="25">
        <f t="shared" ref="AH39:AH70" si="9">AG39/$AG$6*100</f>
        <v>75.529411764705884</v>
      </c>
      <c r="AI39" s="8" t="s">
        <v>329</v>
      </c>
      <c r="AJ39" s="14"/>
    </row>
    <row r="40" spans="1:36" ht="18" x14ac:dyDescent="0.35">
      <c r="A40" s="1">
        <v>34</v>
      </c>
      <c r="B40" s="19">
        <v>488048</v>
      </c>
      <c r="C40" s="20">
        <v>25410260150</v>
      </c>
      <c r="D40" s="8" t="s">
        <v>140</v>
      </c>
      <c r="E40" s="69">
        <v>44</v>
      </c>
      <c r="F40" s="5">
        <v>11</v>
      </c>
      <c r="G40" s="9">
        <f t="shared" si="1"/>
        <v>55</v>
      </c>
      <c r="H40" s="14">
        <v>17</v>
      </c>
      <c r="I40" s="69">
        <v>17</v>
      </c>
      <c r="J40" s="9">
        <v>27</v>
      </c>
      <c r="K40" s="9">
        <f t="shared" si="2"/>
        <v>44</v>
      </c>
      <c r="L40" s="9">
        <v>41</v>
      </c>
      <c r="M40" s="9">
        <v>39</v>
      </c>
      <c r="N40" s="9">
        <f t="shared" si="3"/>
        <v>80</v>
      </c>
      <c r="O40" s="9">
        <v>41</v>
      </c>
      <c r="P40" s="69">
        <v>44</v>
      </c>
      <c r="Q40" s="9">
        <v>14</v>
      </c>
      <c r="R40" s="9">
        <f t="shared" si="4"/>
        <v>58</v>
      </c>
      <c r="S40" s="9">
        <v>19</v>
      </c>
      <c r="T40" s="9">
        <v>21</v>
      </c>
      <c r="U40" s="9">
        <v>31</v>
      </c>
      <c r="V40" s="9">
        <v>39</v>
      </c>
      <c r="W40" s="9">
        <f t="shared" si="5"/>
        <v>70</v>
      </c>
      <c r="X40" s="28">
        <v>38</v>
      </c>
      <c r="Y40" s="10">
        <v>38</v>
      </c>
      <c r="Z40" s="12">
        <f t="shared" si="6"/>
        <v>76</v>
      </c>
      <c r="AA40" s="26">
        <v>18</v>
      </c>
      <c r="AB40" s="5">
        <v>20</v>
      </c>
      <c r="AC40" s="9">
        <f t="shared" si="7"/>
        <v>38</v>
      </c>
      <c r="AD40" s="5">
        <v>20</v>
      </c>
      <c r="AE40" s="23">
        <v>18</v>
      </c>
      <c r="AF40" s="14">
        <v>17</v>
      </c>
      <c r="AG40" s="24">
        <f t="shared" si="8"/>
        <v>574</v>
      </c>
      <c r="AH40" s="25">
        <f t="shared" si="9"/>
        <v>67.529411764705884</v>
      </c>
      <c r="AI40" s="8" t="s">
        <v>332</v>
      </c>
      <c r="AJ40" s="14"/>
    </row>
    <row r="41" spans="1:36" ht="18" x14ac:dyDescent="0.35">
      <c r="A41" s="1">
        <v>35</v>
      </c>
      <c r="B41" s="19">
        <v>488049</v>
      </c>
      <c r="C41" s="20">
        <v>25410260151</v>
      </c>
      <c r="D41" s="8" t="s">
        <v>141</v>
      </c>
      <c r="E41" s="69">
        <v>36</v>
      </c>
      <c r="F41" s="5">
        <v>6</v>
      </c>
      <c r="G41" s="9">
        <f t="shared" si="1"/>
        <v>42</v>
      </c>
      <c r="H41" s="14">
        <v>17</v>
      </c>
      <c r="I41" s="69">
        <v>23</v>
      </c>
      <c r="J41" s="9">
        <v>22</v>
      </c>
      <c r="K41" s="9">
        <f t="shared" si="2"/>
        <v>45</v>
      </c>
      <c r="L41" s="9">
        <v>35</v>
      </c>
      <c r="M41" s="9">
        <v>39</v>
      </c>
      <c r="N41" s="9">
        <f t="shared" si="3"/>
        <v>74</v>
      </c>
      <c r="O41" s="9">
        <v>39</v>
      </c>
      <c r="P41" s="69">
        <v>41</v>
      </c>
      <c r="Q41" s="9">
        <v>21</v>
      </c>
      <c r="R41" s="9">
        <f t="shared" si="4"/>
        <v>62</v>
      </c>
      <c r="S41" s="9">
        <v>19</v>
      </c>
      <c r="T41" s="9">
        <v>21</v>
      </c>
      <c r="U41" s="9">
        <v>23</v>
      </c>
      <c r="V41" s="9">
        <v>45</v>
      </c>
      <c r="W41" s="9">
        <f t="shared" si="5"/>
        <v>68</v>
      </c>
      <c r="X41" s="28">
        <v>40</v>
      </c>
      <c r="Y41" s="10">
        <v>40</v>
      </c>
      <c r="Z41" s="12">
        <f t="shared" si="6"/>
        <v>80</v>
      </c>
      <c r="AA41" s="26">
        <v>18</v>
      </c>
      <c r="AB41" s="5">
        <v>20</v>
      </c>
      <c r="AC41" s="9">
        <f t="shared" si="7"/>
        <v>38</v>
      </c>
      <c r="AD41" s="5">
        <v>20</v>
      </c>
      <c r="AE41" s="23">
        <v>18</v>
      </c>
      <c r="AF41" s="14">
        <v>18</v>
      </c>
      <c r="AG41" s="24">
        <f t="shared" si="8"/>
        <v>561</v>
      </c>
      <c r="AH41" s="25">
        <f t="shared" si="9"/>
        <v>66</v>
      </c>
      <c r="AI41" s="8" t="s">
        <v>332</v>
      </c>
      <c r="AJ41" s="14"/>
    </row>
    <row r="42" spans="1:36" ht="18" x14ac:dyDescent="0.35">
      <c r="A42" s="1">
        <v>36</v>
      </c>
      <c r="B42" s="19">
        <v>488050</v>
      </c>
      <c r="C42" s="20">
        <v>25410260152</v>
      </c>
      <c r="D42" s="8" t="s">
        <v>142</v>
      </c>
      <c r="E42" s="69">
        <v>43</v>
      </c>
      <c r="F42" s="5">
        <v>17</v>
      </c>
      <c r="G42" s="9">
        <f t="shared" si="1"/>
        <v>60</v>
      </c>
      <c r="H42" s="14">
        <v>17</v>
      </c>
      <c r="I42" s="69">
        <v>24</v>
      </c>
      <c r="J42" s="9">
        <v>26</v>
      </c>
      <c r="K42" s="9">
        <f t="shared" si="2"/>
        <v>50</v>
      </c>
      <c r="L42" s="9">
        <v>39</v>
      </c>
      <c r="M42" s="9">
        <v>46</v>
      </c>
      <c r="N42" s="9">
        <f t="shared" si="3"/>
        <v>85</v>
      </c>
      <c r="O42" s="9">
        <v>40</v>
      </c>
      <c r="P42" s="69">
        <v>42</v>
      </c>
      <c r="Q42" s="9">
        <v>21</v>
      </c>
      <c r="R42" s="9">
        <f t="shared" si="4"/>
        <v>63</v>
      </c>
      <c r="S42" s="9">
        <v>23</v>
      </c>
      <c r="T42" s="9">
        <v>21</v>
      </c>
      <c r="U42" s="9">
        <v>23</v>
      </c>
      <c r="V42" s="9">
        <v>41</v>
      </c>
      <c r="W42" s="9">
        <f t="shared" si="5"/>
        <v>64</v>
      </c>
      <c r="X42" s="28">
        <v>36</v>
      </c>
      <c r="Y42" s="10">
        <v>36</v>
      </c>
      <c r="Z42" s="12">
        <f t="shared" si="6"/>
        <v>72</v>
      </c>
      <c r="AA42" s="26">
        <v>20</v>
      </c>
      <c r="AB42" s="5">
        <v>20</v>
      </c>
      <c r="AC42" s="9">
        <f t="shared" si="7"/>
        <v>40</v>
      </c>
      <c r="AD42" s="5">
        <v>20</v>
      </c>
      <c r="AE42" s="23">
        <v>18</v>
      </c>
      <c r="AF42" s="14">
        <v>18</v>
      </c>
      <c r="AG42" s="24">
        <f t="shared" si="8"/>
        <v>591</v>
      </c>
      <c r="AH42" s="25">
        <f t="shared" si="9"/>
        <v>69.529411764705884</v>
      </c>
      <c r="AI42" s="8" t="s">
        <v>332</v>
      </c>
      <c r="AJ42" s="14"/>
    </row>
    <row r="43" spans="1:36" ht="18" x14ac:dyDescent="0.35">
      <c r="A43" s="1">
        <v>37</v>
      </c>
      <c r="B43" s="19">
        <v>488051</v>
      </c>
      <c r="C43" s="20">
        <v>25410260153</v>
      </c>
      <c r="D43" s="8" t="s">
        <v>143</v>
      </c>
      <c r="E43" s="69">
        <v>51</v>
      </c>
      <c r="F43" s="5">
        <v>23</v>
      </c>
      <c r="G43" s="9">
        <f t="shared" si="1"/>
        <v>74</v>
      </c>
      <c r="H43" s="14">
        <v>18</v>
      </c>
      <c r="I43" s="69">
        <v>21</v>
      </c>
      <c r="J43" s="9">
        <v>28</v>
      </c>
      <c r="K43" s="9">
        <f t="shared" si="2"/>
        <v>49</v>
      </c>
      <c r="L43" s="9">
        <v>38</v>
      </c>
      <c r="M43" s="9">
        <v>45</v>
      </c>
      <c r="N43" s="9">
        <f t="shared" si="3"/>
        <v>83</v>
      </c>
      <c r="O43" s="9">
        <v>40</v>
      </c>
      <c r="P43" s="69">
        <v>46</v>
      </c>
      <c r="Q43" s="9">
        <v>23</v>
      </c>
      <c r="R43" s="9">
        <f t="shared" si="4"/>
        <v>69</v>
      </c>
      <c r="S43" s="9">
        <v>19</v>
      </c>
      <c r="T43" s="9">
        <v>19</v>
      </c>
      <c r="U43" s="9">
        <v>27</v>
      </c>
      <c r="V43" s="9">
        <v>38</v>
      </c>
      <c r="W43" s="9">
        <f t="shared" si="5"/>
        <v>65</v>
      </c>
      <c r="X43" s="28">
        <v>38</v>
      </c>
      <c r="Y43" s="10">
        <v>38</v>
      </c>
      <c r="Z43" s="12">
        <f t="shared" si="6"/>
        <v>76</v>
      </c>
      <c r="AA43" s="26">
        <v>20</v>
      </c>
      <c r="AB43" s="5">
        <v>20</v>
      </c>
      <c r="AC43" s="9">
        <f t="shared" si="7"/>
        <v>40</v>
      </c>
      <c r="AD43" s="5">
        <v>20</v>
      </c>
      <c r="AE43" s="23">
        <v>19</v>
      </c>
      <c r="AF43" s="14">
        <v>17</v>
      </c>
      <c r="AG43" s="24">
        <f t="shared" si="8"/>
        <v>608</v>
      </c>
      <c r="AH43" s="25">
        <f t="shared" si="9"/>
        <v>71.529411764705884</v>
      </c>
      <c r="AI43" s="8" t="s">
        <v>332</v>
      </c>
      <c r="AJ43" s="14"/>
    </row>
    <row r="44" spans="1:36" ht="18" x14ac:dyDescent="0.35">
      <c r="A44" s="1">
        <v>38</v>
      </c>
      <c r="B44" s="19">
        <v>488052</v>
      </c>
      <c r="C44" s="20">
        <v>25410260154</v>
      </c>
      <c r="D44" s="8" t="s">
        <v>144</v>
      </c>
      <c r="E44" s="69">
        <v>55</v>
      </c>
      <c r="F44" s="5">
        <v>28</v>
      </c>
      <c r="G44" s="9">
        <f t="shared" si="1"/>
        <v>83</v>
      </c>
      <c r="H44" s="14">
        <v>18</v>
      </c>
      <c r="I44" s="69">
        <v>19</v>
      </c>
      <c r="J44" s="9">
        <v>28</v>
      </c>
      <c r="K44" s="9">
        <f t="shared" si="2"/>
        <v>47</v>
      </c>
      <c r="L44" s="9">
        <v>43</v>
      </c>
      <c r="M44" s="9">
        <v>47</v>
      </c>
      <c r="N44" s="9">
        <f t="shared" si="3"/>
        <v>90</v>
      </c>
      <c r="O44" s="9">
        <v>40</v>
      </c>
      <c r="P44" s="69">
        <v>45</v>
      </c>
      <c r="Q44" s="9">
        <v>25</v>
      </c>
      <c r="R44" s="9">
        <f t="shared" si="4"/>
        <v>70</v>
      </c>
      <c r="S44" s="9">
        <v>19</v>
      </c>
      <c r="T44" s="9">
        <v>20</v>
      </c>
      <c r="U44" s="9">
        <v>21</v>
      </c>
      <c r="V44" s="9">
        <v>36</v>
      </c>
      <c r="W44" s="9">
        <f t="shared" si="5"/>
        <v>57</v>
      </c>
      <c r="X44" s="28">
        <v>36</v>
      </c>
      <c r="Y44" s="10">
        <v>36</v>
      </c>
      <c r="Z44" s="12">
        <f t="shared" si="6"/>
        <v>72</v>
      </c>
      <c r="AA44" s="26">
        <v>21</v>
      </c>
      <c r="AB44" s="5">
        <v>22</v>
      </c>
      <c r="AC44" s="9">
        <f t="shared" si="7"/>
        <v>43</v>
      </c>
      <c r="AD44" s="5">
        <v>21</v>
      </c>
      <c r="AE44" s="23">
        <v>18</v>
      </c>
      <c r="AF44" s="14">
        <v>18</v>
      </c>
      <c r="AG44" s="24">
        <f t="shared" si="8"/>
        <v>616</v>
      </c>
      <c r="AH44" s="25">
        <f t="shared" si="9"/>
        <v>72.470588235294116</v>
      </c>
      <c r="AI44" s="8" t="s">
        <v>332</v>
      </c>
      <c r="AJ44" s="14"/>
    </row>
    <row r="45" spans="1:36" ht="18" x14ac:dyDescent="0.35">
      <c r="A45" s="1">
        <v>39</v>
      </c>
      <c r="B45" s="19">
        <v>488053</v>
      </c>
      <c r="C45" s="20">
        <v>25410260155</v>
      </c>
      <c r="D45" s="8" t="s">
        <v>145</v>
      </c>
      <c r="E45" s="69">
        <v>60</v>
      </c>
      <c r="F45" s="5">
        <v>18</v>
      </c>
      <c r="G45" s="9">
        <f t="shared" si="1"/>
        <v>78</v>
      </c>
      <c r="H45" s="14">
        <v>17</v>
      </c>
      <c r="I45" s="69">
        <v>20</v>
      </c>
      <c r="J45" s="9">
        <v>30</v>
      </c>
      <c r="K45" s="9">
        <f t="shared" si="2"/>
        <v>50</v>
      </c>
      <c r="L45" s="9">
        <v>45</v>
      </c>
      <c r="M45" s="9">
        <v>47</v>
      </c>
      <c r="N45" s="9">
        <f t="shared" si="3"/>
        <v>92</v>
      </c>
      <c r="O45" s="9">
        <v>42</v>
      </c>
      <c r="P45" s="69">
        <v>45</v>
      </c>
      <c r="Q45" s="9">
        <v>22</v>
      </c>
      <c r="R45" s="9">
        <f t="shared" si="4"/>
        <v>67</v>
      </c>
      <c r="S45" s="9">
        <v>22</v>
      </c>
      <c r="T45" s="9">
        <v>21</v>
      </c>
      <c r="U45" s="9">
        <v>30</v>
      </c>
      <c r="V45" s="9">
        <v>41</v>
      </c>
      <c r="W45" s="9">
        <f t="shared" si="5"/>
        <v>71</v>
      </c>
      <c r="X45" s="28">
        <v>44</v>
      </c>
      <c r="Y45" s="10">
        <v>44</v>
      </c>
      <c r="Z45" s="12">
        <f t="shared" si="6"/>
        <v>88</v>
      </c>
      <c r="AA45" s="26">
        <v>21</v>
      </c>
      <c r="AB45" s="5">
        <v>22</v>
      </c>
      <c r="AC45" s="9">
        <f t="shared" si="7"/>
        <v>43</v>
      </c>
      <c r="AD45" s="5">
        <v>21</v>
      </c>
      <c r="AE45" s="23">
        <v>20</v>
      </c>
      <c r="AF45" s="14">
        <v>18</v>
      </c>
      <c r="AG45" s="24">
        <f t="shared" si="8"/>
        <v>650</v>
      </c>
      <c r="AH45" s="25">
        <f t="shared" si="9"/>
        <v>76.470588235294116</v>
      </c>
      <c r="AI45" s="8" t="s">
        <v>329</v>
      </c>
      <c r="AJ45" s="14"/>
    </row>
    <row r="46" spans="1:36" ht="18" x14ac:dyDescent="0.35">
      <c r="A46" s="1">
        <v>40</v>
      </c>
      <c r="B46" s="19">
        <v>488054</v>
      </c>
      <c r="C46" s="20">
        <v>25410260156</v>
      </c>
      <c r="D46" s="8" t="s">
        <v>146</v>
      </c>
      <c r="E46" s="69">
        <v>38</v>
      </c>
      <c r="F46" s="5">
        <v>13</v>
      </c>
      <c r="G46" s="9">
        <f t="shared" si="1"/>
        <v>51</v>
      </c>
      <c r="H46" s="14">
        <v>17</v>
      </c>
      <c r="I46" s="69">
        <v>22</v>
      </c>
      <c r="J46" s="9">
        <v>21</v>
      </c>
      <c r="K46" s="9">
        <f t="shared" si="2"/>
        <v>43</v>
      </c>
      <c r="L46" s="9">
        <v>39</v>
      </c>
      <c r="M46" s="9">
        <v>45</v>
      </c>
      <c r="N46" s="9">
        <f t="shared" si="3"/>
        <v>84</v>
      </c>
      <c r="O46" s="9">
        <v>40</v>
      </c>
      <c r="P46" s="69">
        <v>31</v>
      </c>
      <c r="Q46" s="9">
        <v>16</v>
      </c>
      <c r="R46" s="9">
        <f t="shared" si="4"/>
        <v>47</v>
      </c>
      <c r="S46" s="9">
        <v>20</v>
      </c>
      <c r="T46" s="9">
        <v>21</v>
      </c>
      <c r="U46" s="9">
        <v>3</v>
      </c>
      <c r="V46" s="9">
        <v>35</v>
      </c>
      <c r="W46" s="9">
        <f t="shared" si="5"/>
        <v>38</v>
      </c>
      <c r="X46" s="28">
        <v>36</v>
      </c>
      <c r="Y46" s="10">
        <v>36</v>
      </c>
      <c r="Z46" s="12">
        <f t="shared" si="6"/>
        <v>72</v>
      </c>
      <c r="AA46" s="26">
        <v>21</v>
      </c>
      <c r="AB46" s="5">
        <v>22</v>
      </c>
      <c r="AC46" s="9">
        <f t="shared" si="7"/>
        <v>43</v>
      </c>
      <c r="AD46" s="5">
        <v>21</v>
      </c>
      <c r="AE46" s="23">
        <v>19</v>
      </c>
      <c r="AF46" s="14">
        <v>20</v>
      </c>
      <c r="AG46" s="24">
        <f t="shared" si="8"/>
        <v>536</v>
      </c>
      <c r="AH46" s="25">
        <f t="shared" si="9"/>
        <v>63.058823529411768</v>
      </c>
      <c r="AI46" s="8" t="s">
        <v>327</v>
      </c>
      <c r="AJ46" s="14"/>
    </row>
    <row r="47" spans="1:36" ht="18" x14ac:dyDescent="0.35">
      <c r="A47" s="1">
        <v>41</v>
      </c>
      <c r="B47" s="19">
        <v>488055</v>
      </c>
      <c r="C47" s="20">
        <v>25410260157</v>
      </c>
      <c r="D47" s="8" t="s">
        <v>147</v>
      </c>
      <c r="E47" s="69">
        <v>36</v>
      </c>
      <c r="F47" s="5">
        <v>18</v>
      </c>
      <c r="G47" s="9">
        <f t="shared" si="1"/>
        <v>54</v>
      </c>
      <c r="H47" s="14">
        <v>19</v>
      </c>
      <c r="I47" s="69">
        <v>21</v>
      </c>
      <c r="J47" s="9">
        <v>30</v>
      </c>
      <c r="K47" s="9">
        <f t="shared" si="2"/>
        <v>51</v>
      </c>
      <c r="L47" s="9">
        <v>45</v>
      </c>
      <c r="M47" s="9">
        <v>45</v>
      </c>
      <c r="N47" s="9">
        <f t="shared" si="3"/>
        <v>90</v>
      </c>
      <c r="O47" s="9">
        <v>43</v>
      </c>
      <c r="P47" s="69">
        <v>49</v>
      </c>
      <c r="Q47" s="9">
        <v>20</v>
      </c>
      <c r="R47" s="9">
        <f t="shared" si="4"/>
        <v>69</v>
      </c>
      <c r="S47" s="9">
        <v>22</v>
      </c>
      <c r="T47" s="9">
        <v>22</v>
      </c>
      <c r="U47" s="9">
        <v>28</v>
      </c>
      <c r="V47" s="9">
        <v>45</v>
      </c>
      <c r="W47" s="9">
        <f t="shared" si="5"/>
        <v>73</v>
      </c>
      <c r="X47" s="28">
        <v>42</v>
      </c>
      <c r="Y47" s="10">
        <v>42</v>
      </c>
      <c r="Z47" s="12">
        <f t="shared" si="6"/>
        <v>84</v>
      </c>
      <c r="AA47" s="26">
        <v>22</v>
      </c>
      <c r="AB47" s="5">
        <v>22</v>
      </c>
      <c r="AC47" s="9">
        <f t="shared" si="7"/>
        <v>44</v>
      </c>
      <c r="AD47" s="5">
        <v>22</v>
      </c>
      <c r="AE47" s="23">
        <v>19</v>
      </c>
      <c r="AF47" s="14">
        <v>18</v>
      </c>
      <c r="AG47" s="24">
        <f t="shared" si="8"/>
        <v>630</v>
      </c>
      <c r="AH47" s="25">
        <f t="shared" si="9"/>
        <v>74.117647058823536</v>
      </c>
      <c r="AI47" s="8" t="s">
        <v>332</v>
      </c>
      <c r="AJ47" s="14"/>
    </row>
    <row r="48" spans="1:36" ht="18" x14ac:dyDescent="0.35">
      <c r="A48" s="1">
        <v>42</v>
      </c>
      <c r="B48" s="19">
        <v>488056</v>
      </c>
      <c r="C48" s="20">
        <v>25410260158</v>
      </c>
      <c r="D48" s="8" t="s">
        <v>148</v>
      </c>
      <c r="E48" s="69">
        <v>46</v>
      </c>
      <c r="F48" s="5">
        <v>20</v>
      </c>
      <c r="G48" s="9">
        <f t="shared" si="1"/>
        <v>66</v>
      </c>
      <c r="H48" s="14">
        <v>18</v>
      </c>
      <c r="I48" s="69">
        <v>30</v>
      </c>
      <c r="J48" s="9">
        <v>27</v>
      </c>
      <c r="K48" s="9">
        <f t="shared" si="2"/>
        <v>57</v>
      </c>
      <c r="L48" s="9">
        <v>41</v>
      </c>
      <c r="M48" s="9">
        <v>46</v>
      </c>
      <c r="N48" s="9">
        <f t="shared" si="3"/>
        <v>87</v>
      </c>
      <c r="O48" s="9">
        <v>42</v>
      </c>
      <c r="P48" s="69">
        <v>48</v>
      </c>
      <c r="Q48" s="9">
        <v>25</v>
      </c>
      <c r="R48" s="9">
        <f t="shared" si="4"/>
        <v>73</v>
      </c>
      <c r="S48" s="9">
        <v>22</v>
      </c>
      <c r="T48" s="9">
        <v>23</v>
      </c>
      <c r="U48" s="9">
        <v>35</v>
      </c>
      <c r="V48" s="9">
        <v>39</v>
      </c>
      <c r="W48" s="9">
        <f t="shared" si="5"/>
        <v>74</v>
      </c>
      <c r="X48" s="28">
        <v>42</v>
      </c>
      <c r="Y48" s="10">
        <v>42</v>
      </c>
      <c r="Z48" s="12">
        <f t="shared" si="6"/>
        <v>84</v>
      </c>
      <c r="AA48" s="26">
        <v>19</v>
      </c>
      <c r="AB48" s="5">
        <v>20</v>
      </c>
      <c r="AC48" s="9">
        <f t="shared" si="7"/>
        <v>39</v>
      </c>
      <c r="AD48" s="5">
        <v>20</v>
      </c>
      <c r="AE48" s="23">
        <v>18</v>
      </c>
      <c r="AF48" s="14">
        <v>18</v>
      </c>
      <c r="AG48" s="24">
        <f t="shared" si="8"/>
        <v>641</v>
      </c>
      <c r="AH48" s="25">
        <f t="shared" si="9"/>
        <v>75.411764705882362</v>
      </c>
      <c r="AI48" s="8" t="s">
        <v>329</v>
      </c>
      <c r="AJ48" s="14"/>
    </row>
    <row r="49" spans="1:36" ht="18" x14ac:dyDescent="0.35">
      <c r="A49" s="1">
        <v>43</v>
      </c>
      <c r="B49" s="19">
        <v>488057</v>
      </c>
      <c r="C49" s="20">
        <v>25410260159</v>
      </c>
      <c r="D49" s="8" t="s">
        <v>149</v>
      </c>
      <c r="E49" s="69">
        <v>51</v>
      </c>
      <c r="F49" s="5">
        <v>24</v>
      </c>
      <c r="G49" s="9">
        <f t="shared" si="1"/>
        <v>75</v>
      </c>
      <c r="H49" s="14">
        <v>17</v>
      </c>
      <c r="I49" s="69">
        <v>22</v>
      </c>
      <c r="J49" s="9">
        <v>28</v>
      </c>
      <c r="K49" s="9">
        <f t="shared" si="2"/>
        <v>50</v>
      </c>
      <c r="L49" s="9">
        <v>41</v>
      </c>
      <c r="M49" s="9">
        <v>46</v>
      </c>
      <c r="N49" s="9">
        <f t="shared" si="3"/>
        <v>87</v>
      </c>
      <c r="O49" s="9">
        <v>43</v>
      </c>
      <c r="P49" s="69">
        <v>38</v>
      </c>
      <c r="Q49" s="9">
        <v>27</v>
      </c>
      <c r="R49" s="9">
        <f t="shared" si="4"/>
        <v>65</v>
      </c>
      <c r="S49" s="9">
        <v>23</v>
      </c>
      <c r="T49" s="9">
        <v>21</v>
      </c>
      <c r="U49" s="9">
        <v>31</v>
      </c>
      <c r="V49" s="9">
        <v>44</v>
      </c>
      <c r="W49" s="9">
        <f t="shared" si="5"/>
        <v>75</v>
      </c>
      <c r="X49" s="28">
        <v>40</v>
      </c>
      <c r="Y49" s="10">
        <v>40</v>
      </c>
      <c r="Z49" s="12">
        <f t="shared" si="6"/>
        <v>80</v>
      </c>
      <c r="AA49" s="26">
        <v>22</v>
      </c>
      <c r="AB49" s="5">
        <v>22</v>
      </c>
      <c r="AC49" s="9">
        <f t="shared" si="7"/>
        <v>44</v>
      </c>
      <c r="AD49" s="5">
        <v>22</v>
      </c>
      <c r="AE49" s="23">
        <v>20</v>
      </c>
      <c r="AF49" s="14">
        <v>18</v>
      </c>
      <c r="AG49" s="24">
        <f t="shared" si="8"/>
        <v>640</v>
      </c>
      <c r="AH49" s="25">
        <f t="shared" si="9"/>
        <v>75.294117647058826</v>
      </c>
      <c r="AI49" s="8" t="s">
        <v>329</v>
      </c>
      <c r="AJ49" s="14"/>
    </row>
    <row r="50" spans="1:36" ht="18" x14ac:dyDescent="0.35">
      <c r="A50" s="1">
        <v>44</v>
      </c>
      <c r="B50" s="19">
        <v>488058</v>
      </c>
      <c r="C50" s="20">
        <v>25410260160</v>
      </c>
      <c r="D50" s="8" t="s">
        <v>150</v>
      </c>
      <c r="E50" s="69">
        <v>57</v>
      </c>
      <c r="F50" s="5">
        <v>29</v>
      </c>
      <c r="G50" s="9">
        <f t="shared" si="1"/>
        <v>86</v>
      </c>
      <c r="H50" s="14">
        <v>17</v>
      </c>
      <c r="I50" s="69">
        <v>27</v>
      </c>
      <c r="J50" s="9">
        <v>30</v>
      </c>
      <c r="K50" s="9">
        <f t="shared" si="2"/>
        <v>57</v>
      </c>
      <c r="L50" s="9">
        <v>41</v>
      </c>
      <c r="M50" s="9">
        <v>47</v>
      </c>
      <c r="N50" s="9">
        <f t="shared" si="3"/>
        <v>88</v>
      </c>
      <c r="O50" s="9">
        <v>43</v>
      </c>
      <c r="P50" s="69">
        <v>50</v>
      </c>
      <c r="Q50" s="9">
        <v>27</v>
      </c>
      <c r="R50" s="9">
        <f t="shared" si="4"/>
        <v>77</v>
      </c>
      <c r="S50" s="9">
        <v>22</v>
      </c>
      <c r="T50" s="9">
        <v>21</v>
      </c>
      <c r="U50" s="9">
        <v>22</v>
      </c>
      <c r="V50" s="9">
        <v>38</v>
      </c>
      <c r="W50" s="9">
        <f t="shared" si="5"/>
        <v>60</v>
      </c>
      <c r="X50" s="28">
        <v>44</v>
      </c>
      <c r="Y50" s="10">
        <v>44</v>
      </c>
      <c r="Z50" s="12">
        <f t="shared" si="6"/>
        <v>88</v>
      </c>
      <c r="AA50" s="26">
        <v>23</v>
      </c>
      <c r="AB50" s="5">
        <v>23</v>
      </c>
      <c r="AC50" s="9">
        <f t="shared" si="7"/>
        <v>46</v>
      </c>
      <c r="AD50" s="5">
        <v>23</v>
      </c>
      <c r="AE50" s="23">
        <v>19</v>
      </c>
      <c r="AF50" s="14">
        <v>17</v>
      </c>
      <c r="AG50" s="24">
        <f t="shared" si="8"/>
        <v>664</v>
      </c>
      <c r="AH50" s="25">
        <f t="shared" si="9"/>
        <v>78.117647058823522</v>
      </c>
      <c r="AI50" s="8" t="s">
        <v>329</v>
      </c>
      <c r="AJ50" s="14"/>
    </row>
    <row r="51" spans="1:36" ht="18" x14ac:dyDescent="0.35">
      <c r="A51" s="1">
        <v>45</v>
      </c>
      <c r="B51" s="19">
        <v>488059</v>
      </c>
      <c r="C51" s="20">
        <v>25410260161</v>
      </c>
      <c r="D51" s="8" t="s">
        <v>151</v>
      </c>
      <c r="E51" s="69">
        <v>48</v>
      </c>
      <c r="F51" s="5">
        <v>25</v>
      </c>
      <c r="G51" s="9">
        <f t="shared" si="1"/>
        <v>73</v>
      </c>
      <c r="H51" s="14">
        <v>18</v>
      </c>
      <c r="I51" s="69">
        <v>16</v>
      </c>
      <c r="J51" s="9">
        <v>29</v>
      </c>
      <c r="K51" s="9">
        <f t="shared" si="2"/>
        <v>45</v>
      </c>
      <c r="L51" s="9">
        <v>41</v>
      </c>
      <c r="M51" s="9">
        <v>47</v>
      </c>
      <c r="N51" s="9">
        <f t="shared" si="3"/>
        <v>88</v>
      </c>
      <c r="O51" s="9">
        <v>43</v>
      </c>
      <c r="P51" s="69">
        <v>51</v>
      </c>
      <c r="Q51" s="9">
        <v>25</v>
      </c>
      <c r="R51" s="9">
        <f t="shared" si="4"/>
        <v>76</v>
      </c>
      <c r="S51" s="9">
        <v>22</v>
      </c>
      <c r="T51" s="9">
        <v>23</v>
      </c>
      <c r="U51" s="9">
        <v>24</v>
      </c>
      <c r="V51" s="9">
        <v>40</v>
      </c>
      <c r="W51" s="9">
        <f t="shared" si="5"/>
        <v>64</v>
      </c>
      <c r="X51" s="28">
        <v>46</v>
      </c>
      <c r="Y51" s="10">
        <v>46</v>
      </c>
      <c r="Z51" s="12">
        <f t="shared" si="6"/>
        <v>92</v>
      </c>
      <c r="AA51" s="26">
        <v>23</v>
      </c>
      <c r="AB51" s="5">
        <v>23</v>
      </c>
      <c r="AC51" s="9">
        <f t="shared" si="7"/>
        <v>46</v>
      </c>
      <c r="AD51" s="5">
        <v>23</v>
      </c>
      <c r="AE51" s="23">
        <v>18</v>
      </c>
      <c r="AF51" s="14">
        <v>18</v>
      </c>
      <c r="AG51" s="24">
        <f t="shared" si="8"/>
        <v>649</v>
      </c>
      <c r="AH51" s="25">
        <f t="shared" si="9"/>
        <v>76.352941176470594</v>
      </c>
      <c r="AI51" s="8" t="s">
        <v>329</v>
      </c>
      <c r="AJ51" s="14"/>
    </row>
    <row r="52" spans="1:36" ht="18" x14ac:dyDescent="0.35">
      <c r="A52" s="1">
        <v>46</v>
      </c>
      <c r="B52" s="19">
        <v>488060</v>
      </c>
      <c r="C52" s="20">
        <v>25410260162</v>
      </c>
      <c r="D52" s="8" t="s">
        <v>152</v>
      </c>
      <c r="E52" s="69">
        <v>19</v>
      </c>
      <c r="F52" s="5">
        <v>18</v>
      </c>
      <c r="G52" s="9">
        <f t="shared" si="1"/>
        <v>37</v>
      </c>
      <c r="H52" s="14">
        <v>18</v>
      </c>
      <c r="I52" s="69">
        <v>19</v>
      </c>
      <c r="J52" s="9">
        <v>23</v>
      </c>
      <c r="K52" s="9">
        <f t="shared" si="2"/>
        <v>42</v>
      </c>
      <c r="L52" s="9">
        <v>37</v>
      </c>
      <c r="M52" s="9">
        <v>47</v>
      </c>
      <c r="N52" s="9">
        <f t="shared" si="3"/>
        <v>84</v>
      </c>
      <c r="O52" s="9">
        <v>41</v>
      </c>
      <c r="P52" s="69">
        <v>36</v>
      </c>
      <c r="Q52" s="9">
        <v>12</v>
      </c>
      <c r="R52" s="9">
        <f t="shared" si="4"/>
        <v>48</v>
      </c>
      <c r="S52" s="9">
        <v>22</v>
      </c>
      <c r="T52" s="9">
        <v>21</v>
      </c>
      <c r="U52" s="9">
        <v>20</v>
      </c>
      <c r="V52" s="9">
        <v>38</v>
      </c>
      <c r="W52" s="9">
        <f t="shared" si="5"/>
        <v>58</v>
      </c>
      <c r="X52" s="28">
        <v>30</v>
      </c>
      <c r="Y52" s="10">
        <v>36</v>
      </c>
      <c r="Z52" s="12">
        <f t="shared" si="6"/>
        <v>66</v>
      </c>
      <c r="AA52" s="26">
        <v>20</v>
      </c>
      <c r="AB52" s="5">
        <v>20</v>
      </c>
      <c r="AC52" s="9">
        <f t="shared" si="7"/>
        <v>40</v>
      </c>
      <c r="AD52" s="5">
        <v>20</v>
      </c>
      <c r="AE52" s="23">
        <v>18</v>
      </c>
      <c r="AF52" s="14">
        <v>18</v>
      </c>
      <c r="AG52" s="24">
        <f t="shared" si="8"/>
        <v>533</v>
      </c>
      <c r="AH52" s="25">
        <f t="shared" si="9"/>
        <v>62.705882352941181</v>
      </c>
      <c r="AI52" s="8" t="s">
        <v>331</v>
      </c>
      <c r="AJ52" s="14"/>
    </row>
    <row r="53" spans="1:36" ht="18" x14ac:dyDescent="0.35">
      <c r="A53" s="1">
        <v>47</v>
      </c>
      <c r="B53" s="19">
        <v>488061</v>
      </c>
      <c r="C53" s="20">
        <v>25410260163</v>
      </c>
      <c r="D53" s="8" t="s">
        <v>153</v>
      </c>
      <c r="E53" s="69">
        <v>66</v>
      </c>
      <c r="F53" s="5">
        <v>28</v>
      </c>
      <c r="G53" s="9">
        <f t="shared" si="1"/>
        <v>94</v>
      </c>
      <c r="H53" s="14">
        <v>17</v>
      </c>
      <c r="I53" s="69">
        <v>23</v>
      </c>
      <c r="J53" s="9">
        <v>30</v>
      </c>
      <c r="K53" s="9">
        <f t="shared" si="2"/>
        <v>53</v>
      </c>
      <c r="L53" s="9">
        <v>41</v>
      </c>
      <c r="M53" s="9">
        <v>47</v>
      </c>
      <c r="N53" s="9">
        <f t="shared" si="3"/>
        <v>88</v>
      </c>
      <c r="O53" s="9">
        <v>43</v>
      </c>
      <c r="P53" s="69">
        <v>49</v>
      </c>
      <c r="Q53" s="9">
        <v>27</v>
      </c>
      <c r="R53" s="9">
        <f t="shared" si="4"/>
        <v>76</v>
      </c>
      <c r="S53" s="9">
        <v>23</v>
      </c>
      <c r="T53" s="9">
        <v>21</v>
      </c>
      <c r="U53" s="9">
        <v>21</v>
      </c>
      <c r="V53" s="9">
        <v>43</v>
      </c>
      <c r="W53" s="9">
        <f t="shared" si="5"/>
        <v>64</v>
      </c>
      <c r="X53" s="28">
        <v>44</v>
      </c>
      <c r="Y53" s="10">
        <v>44</v>
      </c>
      <c r="Z53" s="12">
        <f t="shared" si="6"/>
        <v>88</v>
      </c>
      <c r="AA53" s="26">
        <v>23</v>
      </c>
      <c r="AB53" s="5">
        <v>23</v>
      </c>
      <c r="AC53" s="9">
        <f t="shared" si="7"/>
        <v>46</v>
      </c>
      <c r="AD53" s="5">
        <v>23</v>
      </c>
      <c r="AE53" s="23">
        <v>18</v>
      </c>
      <c r="AF53" s="14">
        <v>17</v>
      </c>
      <c r="AG53" s="24">
        <f t="shared" si="8"/>
        <v>671</v>
      </c>
      <c r="AH53" s="25">
        <f t="shared" si="9"/>
        <v>78.941176470588232</v>
      </c>
      <c r="AI53" s="8" t="s">
        <v>329</v>
      </c>
      <c r="AJ53" s="14"/>
    </row>
    <row r="54" spans="1:36" ht="18" x14ac:dyDescent="0.35">
      <c r="A54" s="1">
        <v>48</v>
      </c>
      <c r="B54" s="19">
        <v>488062</v>
      </c>
      <c r="C54" s="20">
        <v>25410260164</v>
      </c>
      <c r="D54" s="8" t="s">
        <v>154</v>
      </c>
      <c r="E54" s="69">
        <v>59</v>
      </c>
      <c r="F54" s="5">
        <v>30</v>
      </c>
      <c r="G54" s="9">
        <f t="shared" si="1"/>
        <v>89</v>
      </c>
      <c r="H54" s="14">
        <v>17</v>
      </c>
      <c r="I54" s="69">
        <v>40</v>
      </c>
      <c r="J54" s="9">
        <v>30</v>
      </c>
      <c r="K54" s="9">
        <f t="shared" si="2"/>
        <v>70</v>
      </c>
      <c r="L54" s="9">
        <v>40</v>
      </c>
      <c r="M54" s="9">
        <v>47</v>
      </c>
      <c r="N54" s="9">
        <f t="shared" si="3"/>
        <v>87</v>
      </c>
      <c r="O54" s="9">
        <v>44</v>
      </c>
      <c r="P54" s="69">
        <v>50</v>
      </c>
      <c r="Q54" s="9">
        <v>27</v>
      </c>
      <c r="R54" s="9">
        <f t="shared" si="4"/>
        <v>77</v>
      </c>
      <c r="S54" s="9">
        <v>23</v>
      </c>
      <c r="T54" s="9">
        <v>22</v>
      </c>
      <c r="U54" s="9">
        <v>41</v>
      </c>
      <c r="V54" s="9">
        <v>46</v>
      </c>
      <c r="W54" s="9">
        <f t="shared" si="5"/>
        <v>87</v>
      </c>
      <c r="X54" s="28">
        <v>46</v>
      </c>
      <c r="Y54" s="10">
        <v>46</v>
      </c>
      <c r="Z54" s="12">
        <f t="shared" si="6"/>
        <v>92</v>
      </c>
      <c r="AA54" s="26">
        <v>23</v>
      </c>
      <c r="AB54" s="5">
        <v>23</v>
      </c>
      <c r="AC54" s="9">
        <f t="shared" si="7"/>
        <v>46</v>
      </c>
      <c r="AD54" s="5">
        <v>23</v>
      </c>
      <c r="AE54" s="23">
        <v>18</v>
      </c>
      <c r="AF54" s="14">
        <v>18</v>
      </c>
      <c r="AG54" s="24">
        <f t="shared" si="8"/>
        <v>713</v>
      </c>
      <c r="AH54" s="25">
        <f t="shared" si="9"/>
        <v>83.882352941176478</v>
      </c>
      <c r="AI54" s="8" t="s">
        <v>329</v>
      </c>
      <c r="AJ54" s="14"/>
    </row>
    <row r="55" spans="1:36" ht="18" x14ac:dyDescent="0.35">
      <c r="A55" s="1">
        <v>49</v>
      </c>
      <c r="B55" s="19">
        <v>488063</v>
      </c>
      <c r="C55" s="20">
        <v>25410260165</v>
      </c>
      <c r="D55" s="8" t="s">
        <v>155</v>
      </c>
      <c r="E55" s="69">
        <v>60</v>
      </c>
      <c r="F55" s="5">
        <v>24</v>
      </c>
      <c r="G55" s="9">
        <f t="shared" si="1"/>
        <v>84</v>
      </c>
      <c r="H55" s="14">
        <v>17</v>
      </c>
      <c r="I55" s="69">
        <v>24</v>
      </c>
      <c r="J55" s="9">
        <v>30</v>
      </c>
      <c r="K55" s="9">
        <f t="shared" si="2"/>
        <v>54</v>
      </c>
      <c r="L55" s="9">
        <v>43</v>
      </c>
      <c r="M55" s="9">
        <v>46</v>
      </c>
      <c r="N55" s="9">
        <f t="shared" si="3"/>
        <v>89</v>
      </c>
      <c r="O55" s="9">
        <v>43</v>
      </c>
      <c r="P55" s="69">
        <v>40</v>
      </c>
      <c r="Q55" s="9">
        <v>22</v>
      </c>
      <c r="R55" s="9">
        <f t="shared" si="4"/>
        <v>62</v>
      </c>
      <c r="S55" s="9">
        <v>23</v>
      </c>
      <c r="T55" s="9">
        <v>21</v>
      </c>
      <c r="U55" s="9">
        <v>26</v>
      </c>
      <c r="V55" s="9">
        <v>41</v>
      </c>
      <c r="W55" s="9">
        <f t="shared" si="5"/>
        <v>67</v>
      </c>
      <c r="X55" s="28">
        <v>40</v>
      </c>
      <c r="Y55" s="10">
        <v>40</v>
      </c>
      <c r="Z55" s="12">
        <f t="shared" si="6"/>
        <v>80</v>
      </c>
      <c r="AA55" s="26">
        <v>22</v>
      </c>
      <c r="AB55" s="5">
        <v>22</v>
      </c>
      <c r="AC55" s="9">
        <f t="shared" si="7"/>
        <v>44</v>
      </c>
      <c r="AD55" s="5">
        <v>22</v>
      </c>
      <c r="AE55" s="23">
        <v>18</v>
      </c>
      <c r="AF55" s="14">
        <v>18</v>
      </c>
      <c r="AG55" s="24">
        <f t="shared" si="8"/>
        <v>642</v>
      </c>
      <c r="AH55" s="25">
        <f t="shared" si="9"/>
        <v>75.529411764705884</v>
      </c>
      <c r="AI55" s="8" t="s">
        <v>329</v>
      </c>
      <c r="AJ55" s="14"/>
    </row>
    <row r="56" spans="1:36" ht="18" x14ac:dyDescent="0.35">
      <c r="A56" s="1">
        <v>50</v>
      </c>
      <c r="B56" s="19">
        <v>488064</v>
      </c>
      <c r="C56" s="20">
        <v>25410260166</v>
      </c>
      <c r="D56" s="8" t="s">
        <v>156</v>
      </c>
      <c r="E56" s="69">
        <v>49</v>
      </c>
      <c r="F56" s="5">
        <v>14</v>
      </c>
      <c r="G56" s="9">
        <f t="shared" si="1"/>
        <v>63</v>
      </c>
      <c r="H56" s="14">
        <v>18</v>
      </c>
      <c r="I56" s="69">
        <v>22</v>
      </c>
      <c r="J56" s="9">
        <v>24</v>
      </c>
      <c r="K56" s="9">
        <f t="shared" si="2"/>
        <v>46</v>
      </c>
      <c r="L56" s="9">
        <v>38</v>
      </c>
      <c r="M56" s="9">
        <v>47</v>
      </c>
      <c r="N56" s="9">
        <f t="shared" si="3"/>
        <v>85</v>
      </c>
      <c r="O56" s="9">
        <v>42</v>
      </c>
      <c r="P56" s="69">
        <v>39</v>
      </c>
      <c r="Q56" s="9">
        <v>17</v>
      </c>
      <c r="R56" s="9">
        <f t="shared" si="4"/>
        <v>56</v>
      </c>
      <c r="S56" s="9">
        <v>20</v>
      </c>
      <c r="T56" s="9">
        <v>21</v>
      </c>
      <c r="U56" s="9">
        <v>20</v>
      </c>
      <c r="V56" s="9">
        <v>41</v>
      </c>
      <c r="W56" s="9">
        <f t="shared" si="5"/>
        <v>61</v>
      </c>
      <c r="X56" s="28">
        <v>42</v>
      </c>
      <c r="Y56" s="10">
        <v>42</v>
      </c>
      <c r="Z56" s="12">
        <f t="shared" si="6"/>
        <v>84</v>
      </c>
      <c r="AA56" s="26">
        <v>20</v>
      </c>
      <c r="AB56" s="5">
        <v>20</v>
      </c>
      <c r="AC56" s="9">
        <f t="shared" si="7"/>
        <v>40</v>
      </c>
      <c r="AD56" s="5">
        <v>20</v>
      </c>
      <c r="AE56" s="23">
        <v>20</v>
      </c>
      <c r="AF56" s="14">
        <v>17</v>
      </c>
      <c r="AG56" s="24">
        <f t="shared" si="8"/>
        <v>593</v>
      </c>
      <c r="AH56" s="25">
        <f t="shared" si="9"/>
        <v>69.764705882352942</v>
      </c>
      <c r="AI56" s="8" t="s">
        <v>332</v>
      </c>
      <c r="AJ56" s="14"/>
    </row>
    <row r="57" spans="1:36" ht="18" x14ac:dyDescent="0.35">
      <c r="A57" s="1">
        <v>51</v>
      </c>
      <c r="B57" s="19">
        <v>488065</v>
      </c>
      <c r="C57" s="20">
        <v>25410260167</v>
      </c>
      <c r="D57" s="8" t="s">
        <v>157</v>
      </c>
      <c r="E57" s="69">
        <v>55</v>
      </c>
      <c r="F57" s="5">
        <v>21</v>
      </c>
      <c r="G57" s="9">
        <f t="shared" si="1"/>
        <v>76</v>
      </c>
      <c r="H57" s="14">
        <v>18</v>
      </c>
      <c r="I57" s="69">
        <v>26</v>
      </c>
      <c r="J57" s="9">
        <v>26</v>
      </c>
      <c r="K57" s="9">
        <f t="shared" si="2"/>
        <v>52</v>
      </c>
      <c r="L57" s="9">
        <v>37</v>
      </c>
      <c r="M57" s="9">
        <v>45</v>
      </c>
      <c r="N57" s="9">
        <f t="shared" si="3"/>
        <v>82</v>
      </c>
      <c r="O57" s="9">
        <v>39</v>
      </c>
      <c r="P57" s="69">
        <v>35</v>
      </c>
      <c r="Q57" s="9">
        <v>21</v>
      </c>
      <c r="R57" s="9">
        <f t="shared" si="4"/>
        <v>56</v>
      </c>
      <c r="S57" s="9">
        <v>21</v>
      </c>
      <c r="T57" s="9">
        <v>19</v>
      </c>
      <c r="U57" s="9">
        <v>33</v>
      </c>
      <c r="V57" s="9">
        <v>41</v>
      </c>
      <c r="W57" s="9">
        <f t="shared" si="5"/>
        <v>74</v>
      </c>
      <c r="X57" s="28">
        <v>42</v>
      </c>
      <c r="Y57" s="10">
        <v>42</v>
      </c>
      <c r="Z57" s="12">
        <f t="shared" si="6"/>
        <v>84</v>
      </c>
      <c r="AA57" s="26">
        <v>22</v>
      </c>
      <c r="AB57" s="5">
        <v>22</v>
      </c>
      <c r="AC57" s="9">
        <f t="shared" si="7"/>
        <v>44</v>
      </c>
      <c r="AD57" s="5">
        <v>22</v>
      </c>
      <c r="AE57" s="23">
        <v>18</v>
      </c>
      <c r="AF57" s="14">
        <v>17</v>
      </c>
      <c r="AG57" s="24">
        <f t="shared" si="8"/>
        <v>622</v>
      </c>
      <c r="AH57" s="25">
        <f t="shared" si="9"/>
        <v>73.176470588235304</v>
      </c>
      <c r="AI57" s="8" t="s">
        <v>332</v>
      </c>
      <c r="AJ57" s="14"/>
    </row>
    <row r="58" spans="1:36" ht="18" x14ac:dyDescent="0.35">
      <c r="A58" s="1">
        <v>52</v>
      </c>
      <c r="B58" s="19">
        <v>488066</v>
      </c>
      <c r="C58" s="20">
        <v>25410260168</v>
      </c>
      <c r="D58" s="8" t="s">
        <v>158</v>
      </c>
      <c r="E58" s="69">
        <v>60</v>
      </c>
      <c r="F58" s="5">
        <v>25</v>
      </c>
      <c r="G58" s="9">
        <f t="shared" si="1"/>
        <v>85</v>
      </c>
      <c r="H58" s="14">
        <v>17</v>
      </c>
      <c r="I58" s="69">
        <v>33</v>
      </c>
      <c r="J58" s="9">
        <v>30</v>
      </c>
      <c r="K58" s="9">
        <f t="shared" si="2"/>
        <v>63</v>
      </c>
      <c r="L58" s="9">
        <v>45</v>
      </c>
      <c r="M58" s="9">
        <v>46</v>
      </c>
      <c r="N58" s="9">
        <f t="shared" si="3"/>
        <v>91</v>
      </c>
      <c r="O58" s="9">
        <v>43</v>
      </c>
      <c r="P58" s="69">
        <v>40</v>
      </c>
      <c r="Q58" s="9">
        <v>25</v>
      </c>
      <c r="R58" s="9">
        <f t="shared" si="4"/>
        <v>65</v>
      </c>
      <c r="S58" s="9">
        <v>22</v>
      </c>
      <c r="T58" s="9">
        <v>21</v>
      </c>
      <c r="U58" s="9">
        <v>32</v>
      </c>
      <c r="V58" s="9">
        <v>46</v>
      </c>
      <c r="W58" s="9">
        <f t="shared" si="5"/>
        <v>78</v>
      </c>
      <c r="X58" s="28">
        <v>40</v>
      </c>
      <c r="Y58" s="10">
        <v>40</v>
      </c>
      <c r="Z58" s="12">
        <f t="shared" si="6"/>
        <v>80</v>
      </c>
      <c r="AA58" s="26">
        <v>21</v>
      </c>
      <c r="AB58" s="5">
        <v>22</v>
      </c>
      <c r="AC58" s="9">
        <f t="shared" si="7"/>
        <v>43</v>
      </c>
      <c r="AD58" s="5">
        <v>21</v>
      </c>
      <c r="AE58" s="23">
        <v>18</v>
      </c>
      <c r="AF58" s="14">
        <v>18</v>
      </c>
      <c r="AG58" s="24">
        <f t="shared" si="8"/>
        <v>665</v>
      </c>
      <c r="AH58" s="25">
        <f t="shared" si="9"/>
        <v>78.235294117647058</v>
      </c>
      <c r="AI58" s="8" t="s">
        <v>329</v>
      </c>
      <c r="AJ58" s="14"/>
    </row>
    <row r="59" spans="1:36" ht="18" x14ac:dyDescent="0.35">
      <c r="A59" s="1">
        <v>53</v>
      </c>
      <c r="B59" s="19">
        <v>488067</v>
      </c>
      <c r="C59" s="20">
        <v>25410260169</v>
      </c>
      <c r="D59" s="8" t="s">
        <v>159</v>
      </c>
      <c r="E59" s="69">
        <v>56</v>
      </c>
      <c r="F59" s="5">
        <v>29</v>
      </c>
      <c r="G59" s="9">
        <f t="shared" si="1"/>
        <v>85</v>
      </c>
      <c r="H59" s="14">
        <v>17</v>
      </c>
      <c r="I59" s="69">
        <v>26</v>
      </c>
      <c r="J59" s="9">
        <v>30</v>
      </c>
      <c r="K59" s="9">
        <f t="shared" si="2"/>
        <v>56</v>
      </c>
      <c r="L59" s="9">
        <v>44</v>
      </c>
      <c r="M59" s="9">
        <v>47</v>
      </c>
      <c r="N59" s="9">
        <f t="shared" si="3"/>
        <v>91</v>
      </c>
      <c r="O59" s="9">
        <v>43</v>
      </c>
      <c r="P59" s="69">
        <v>45</v>
      </c>
      <c r="Q59" s="9">
        <v>26</v>
      </c>
      <c r="R59" s="9">
        <f t="shared" si="4"/>
        <v>71</v>
      </c>
      <c r="S59" s="9">
        <v>22</v>
      </c>
      <c r="T59" s="9">
        <v>21</v>
      </c>
      <c r="U59" s="9">
        <v>29</v>
      </c>
      <c r="V59" s="9">
        <v>44</v>
      </c>
      <c r="W59" s="9">
        <f t="shared" si="5"/>
        <v>73</v>
      </c>
      <c r="X59" s="28">
        <v>38</v>
      </c>
      <c r="Y59" s="10">
        <v>38</v>
      </c>
      <c r="Z59" s="12">
        <f t="shared" si="6"/>
        <v>76</v>
      </c>
      <c r="AA59" s="10" t="s">
        <v>105</v>
      </c>
      <c r="AB59" s="5" t="s">
        <v>105</v>
      </c>
      <c r="AC59" s="9">
        <f t="shared" si="7"/>
        <v>0</v>
      </c>
      <c r="AD59" s="5" t="s">
        <v>105</v>
      </c>
      <c r="AE59" s="23">
        <v>18</v>
      </c>
      <c r="AF59" s="14">
        <v>18</v>
      </c>
      <c r="AG59" s="24">
        <f t="shared" si="8"/>
        <v>591</v>
      </c>
      <c r="AH59" s="25">
        <f t="shared" si="9"/>
        <v>69.529411764705884</v>
      </c>
      <c r="AI59" s="8" t="s">
        <v>330</v>
      </c>
      <c r="AJ59" s="14"/>
    </row>
    <row r="60" spans="1:36" ht="18" x14ac:dyDescent="0.35">
      <c r="A60" s="1">
        <v>54</v>
      </c>
      <c r="B60" s="19">
        <v>488068</v>
      </c>
      <c r="C60" s="20">
        <v>25410260170</v>
      </c>
      <c r="D60" s="8" t="s">
        <v>160</v>
      </c>
      <c r="E60" s="69">
        <v>57</v>
      </c>
      <c r="F60" s="5">
        <v>25</v>
      </c>
      <c r="G60" s="9">
        <f t="shared" si="1"/>
        <v>82</v>
      </c>
      <c r="H60" s="14">
        <v>19</v>
      </c>
      <c r="I60" s="69">
        <v>30</v>
      </c>
      <c r="J60" s="9">
        <v>30</v>
      </c>
      <c r="K60" s="9">
        <f t="shared" si="2"/>
        <v>60</v>
      </c>
      <c r="L60" s="9">
        <v>44</v>
      </c>
      <c r="M60" s="9">
        <v>45</v>
      </c>
      <c r="N60" s="9">
        <f t="shared" si="3"/>
        <v>89</v>
      </c>
      <c r="O60" s="9">
        <v>42</v>
      </c>
      <c r="P60" s="69">
        <v>44</v>
      </c>
      <c r="Q60" s="9">
        <v>27</v>
      </c>
      <c r="R60" s="9">
        <f t="shared" si="4"/>
        <v>71</v>
      </c>
      <c r="S60" s="9">
        <v>23</v>
      </c>
      <c r="T60" s="9">
        <v>20</v>
      </c>
      <c r="U60" s="9">
        <v>32</v>
      </c>
      <c r="V60" s="9">
        <v>39</v>
      </c>
      <c r="W60" s="9">
        <f t="shared" si="5"/>
        <v>71</v>
      </c>
      <c r="X60" s="28">
        <v>44</v>
      </c>
      <c r="Y60" s="10">
        <v>44</v>
      </c>
      <c r="Z60" s="12">
        <f t="shared" si="6"/>
        <v>88</v>
      </c>
      <c r="AA60" s="26">
        <v>20</v>
      </c>
      <c r="AB60" s="5">
        <v>20</v>
      </c>
      <c r="AC60" s="9">
        <f t="shared" si="7"/>
        <v>40</v>
      </c>
      <c r="AD60" s="5">
        <v>20</v>
      </c>
      <c r="AE60" s="23">
        <v>18</v>
      </c>
      <c r="AF60" s="14">
        <v>18</v>
      </c>
      <c r="AG60" s="24">
        <f t="shared" si="8"/>
        <v>661</v>
      </c>
      <c r="AH60" s="25">
        <f t="shared" si="9"/>
        <v>77.764705882352942</v>
      </c>
      <c r="AI60" s="8" t="s">
        <v>329</v>
      </c>
      <c r="AJ60" s="14"/>
    </row>
    <row r="61" spans="1:36" ht="18" x14ac:dyDescent="0.35">
      <c r="A61" s="1">
        <v>55</v>
      </c>
      <c r="B61" s="19">
        <v>488069</v>
      </c>
      <c r="C61" s="20">
        <v>25410260171</v>
      </c>
      <c r="D61" s="8" t="s">
        <v>161</v>
      </c>
      <c r="E61" s="69">
        <v>68</v>
      </c>
      <c r="F61" s="5">
        <v>29</v>
      </c>
      <c r="G61" s="9">
        <f t="shared" si="1"/>
        <v>97</v>
      </c>
      <c r="H61" s="14">
        <v>18</v>
      </c>
      <c r="I61" s="69">
        <v>32</v>
      </c>
      <c r="J61" s="9">
        <v>30</v>
      </c>
      <c r="K61" s="9">
        <f t="shared" si="2"/>
        <v>62</v>
      </c>
      <c r="L61" s="9">
        <v>41</v>
      </c>
      <c r="M61" s="9">
        <v>47</v>
      </c>
      <c r="N61" s="9">
        <f t="shared" si="3"/>
        <v>88</v>
      </c>
      <c r="O61" s="9">
        <v>43</v>
      </c>
      <c r="P61" s="69">
        <v>49</v>
      </c>
      <c r="Q61" s="9">
        <v>22</v>
      </c>
      <c r="R61" s="9">
        <f t="shared" si="4"/>
        <v>71</v>
      </c>
      <c r="S61" s="9">
        <v>23</v>
      </c>
      <c r="T61" s="9">
        <v>21</v>
      </c>
      <c r="U61" s="9">
        <v>34</v>
      </c>
      <c r="V61" s="9">
        <v>44</v>
      </c>
      <c r="W61" s="9">
        <f t="shared" si="5"/>
        <v>78</v>
      </c>
      <c r="X61" s="28">
        <v>44</v>
      </c>
      <c r="Y61" s="10">
        <v>44</v>
      </c>
      <c r="Z61" s="12">
        <f t="shared" si="6"/>
        <v>88</v>
      </c>
      <c r="AA61" s="26">
        <v>21</v>
      </c>
      <c r="AB61" s="5">
        <v>22</v>
      </c>
      <c r="AC61" s="9">
        <f t="shared" si="7"/>
        <v>43</v>
      </c>
      <c r="AD61" s="5">
        <v>21</v>
      </c>
      <c r="AE61" s="23">
        <v>20</v>
      </c>
      <c r="AF61" s="14">
        <v>18</v>
      </c>
      <c r="AG61" s="24">
        <f t="shared" si="8"/>
        <v>691</v>
      </c>
      <c r="AH61" s="25">
        <f t="shared" si="9"/>
        <v>81.294117647058826</v>
      </c>
      <c r="AI61" s="8" t="s">
        <v>329</v>
      </c>
      <c r="AJ61" s="14"/>
    </row>
    <row r="62" spans="1:36" ht="18" x14ac:dyDescent="0.35">
      <c r="A62" s="1">
        <v>56</v>
      </c>
      <c r="B62" s="19">
        <v>488070</v>
      </c>
      <c r="C62" s="20">
        <v>25410260172</v>
      </c>
      <c r="D62" s="8" t="s">
        <v>162</v>
      </c>
      <c r="E62" s="69" t="s">
        <v>118</v>
      </c>
      <c r="F62" s="5">
        <v>15</v>
      </c>
      <c r="G62" s="9">
        <f t="shared" si="1"/>
        <v>15</v>
      </c>
      <c r="H62" s="21"/>
      <c r="I62" s="69" t="s">
        <v>118</v>
      </c>
      <c r="J62" s="9" t="s">
        <v>118</v>
      </c>
      <c r="K62" s="9">
        <f t="shared" si="2"/>
        <v>0</v>
      </c>
      <c r="L62" s="9" t="s">
        <v>118</v>
      </c>
      <c r="M62" s="9" t="s">
        <v>118</v>
      </c>
      <c r="N62" s="9" t="s">
        <v>118</v>
      </c>
      <c r="O62" s="9">
        <v>42</v>
      </c>
      <c r="P62" s="69" t="s">
        <v>118</v>
      </c>
      <c r="Q62" s="9">
        <v>11</v>
      </c>
      <c r="R62" s="9">
        <f t="shared" si="4"/>
        <v>11</v>
      </c>
      <c r="S62" s="9">
        <v>0</v>
      </c>
      <c r="T62" s="9">
        <v>0</v>
      </c>
      <c r="U62" s="10" t="s">
        <v>118</v>
      </c>
      <c r="V62" s="9"/>
      <c r="W62" s="9">
        <f t="shared" si="5"/>
        <v>0</v>
      </c>
      <c r="X62" s="28" t="s">
        <v>118</v>
      </c>
      <c r="Y62" s="10" t="s">
        <v>118</v>
      </c>
      <c r="Z62" s="12">
        <f t="shared" si="6"/>
        <v>0</v>
      </c>
      <c r="AA62" s="10" t="s">
        <v>118</v>
      </c>
      <c r="AB62" s="5" t="s">
        <v>118</v>
      </c>
      <c r="AC62" s="9">
        <f t="shared" si="7"/>
        <v>0</v>
      </c>
      <c r="AD62" s="5" t="s">
        <v>118</v>
      </c>
      <c r="AE62" s="23" t="s">
        <v>118</v>
      </c>
      <c r="AF62" s="14" t="s">
        <v>118</v>
      </c>
      <c r="AG62" s="24">
        <f t="shared" si="8"/>
        <v>68</v>
      </c>
      <c r="AH62" s="25">
        <f t="shared" si="9"/>
        <v>8</v>
      </c>
      <c r="AI62" s="8"/>
      <c r="AJ62" s="14"/>
    </row>
    <row r="63" spans="1:36" ht="18" x14ac:dyDescent="0.35">
      <c r="A63" s="1">
        <v>57</v>
      </c>
      <c r="B63" s="19">
        <v>488071</v>
      </c>
      <c r="C63" s="20">
        <v>25410260173</v>
      </c>
      <c r="D63" s="8" t="s">
        <v>163</v>
      </c>
      <c r="E63" s="69">
        <v>44</v>
      </c>
      <c r="F63" s="5">
        <v>27</v>
      </c>
      <c r="G63" s="9">
        <f t="shared" si="1"/>
        <v>71</v>
      </c>
      <c r="H63" s="14">
        <v>17</v>
      </c>
      <c r="I63" s="69">
        <v>16</v>
      </c>
      <c r="J63" s="9">
        <v>29</v>
      </c>
      <c r="K63" s="9">
        <f t="shared" si="2"/>
        <v>45</v>
      </c>
      <c r="L63" s="9">
        <v>45</v>
      </c>
      <c r="M63" s="9">
        <v>45</v>
      </c>
      <c r="N63" s="9">
        <f t="shared" si="3"/>
        <v>90</v>
      </c>
      <c r="O63" s="9">
        <v>41</v>
      </c>
      <c r="P63" s="69">
        <v>39</v>
      </c>
      <c r="Q63" s="9">
        <v>23</v>
      </c>
      <c r="R63" s="9">
        <f t="shared" si="4"/>
        <v>62</v>
      </c>
      <c r="S63" s="9">
        <v>22</v>
      </c>
      <c r="T63" s="9">
        <v>21</v>
      </c>
      <c r="U63" s="9">
        <v>20</v>
      </c>
      <c r="V63" s="9">
        <v>43</v>
      </c>
      <c r="W63" s="9">
        <f t="shared" si="5"/>
        <v>63</v>
      </c>
      <c r="X63" s="28">
        <v>42</v>
      </c>
      <c r="Y63" s="10">
        <v>42</v>
      </c>
      <c r="Z63" s="12">
        <f t="shared" si="6"/>
        <v>84</v>
      </c>
      <c r="AA63" s="26">
        <v>22</v>
      </c>
      <c r="AB63" s="5">
        <v>22</v>
      </c>
      <c r="AC63" s="9">
        <f t="shared" si="7"/>
        <v>44</v>
      </c>
      <c r="AD63" s="5">
        <v>22</v>
      </c>
      <c r="AE63" s="23">
        <v>18</v>
      </c>
      <c r="AF63" s="14">
        <v>18</v>
      </c>
      <c r="AG63" s="24">
        <f t="shared" si="8"/>
        <v>618</v>
      </c>
      <c r="AH63" s="25">
        <f t="shared" si="9"/>
        <v>72.705882352941174</v>
      </c>
      <c r="AI63" s="8" t="s">
        <v>332</v>
      </c>
      <c r="AJ63" s="14"/>
    </row>
    <row r="64" spans="1:36" ht="18" x14ac:dyDescent="0.35">
      <c r="A64" s="1">
        <v>58</v>
      </c>
      <c r="B64" s="19">
        <v>488072</v>
      </c>
      <c r="C64" s="20">
        <v>25410260174</v>
      </c>
      <c r="D64" s="8" t="s">
        <v>164</v>
      </c>
      <c r="E64" s="69">
        <v>45</v>
      </c>
      <c r="F64" s="5">
        <v>17</v>
      </c>
      <c r="G64" s="9">
        <f t="shared" si="1"/>
        <v>62</v>
      </c>
      <c r="H64" s="14">
        <v>18</v>
      </c>
      <c r="I64" s="69">
        <v>26</v>
      </c>
      <c r="J64" s="9">
        <v>29</v>
      </c>
      <c r="K64" s="9">
        <f t="shared" si="2"/>
        <v>55</v>
      </c>
      <c r="L64" s="9">
        <v>44</v>
      </c>
      <c r="M64" s="9">
        <v>46</v>
      </c>
      <c r="N64" s="9">
        <f t="shared" si="3"/>
        <v>90</v>
      </c>
      <c r="O64" s="9">
        <v>42</v>
      </c>
      <c r="P64" s="69">
        <v>45</v>
      </c>
      <c r="Q64" s="9">
        <v>23</v>
      </c>
      <c r="R64" s="9">
        <f t="shared" si="4"/>
        <v>68</v>
      </c>
      <c r="S64" s="9">
        <v>21</v>
      </c>
      <c r="T64" s="9">
        <v>21</v>
      </c>
      <c r="U64" s="9">
        <v>36</v>
      </c>
      <c r="V64" s="9">
        <v>46</v>
      </c>
      <c r="W64" s="9">
        <f t="shared" si="5"/>
        <v>82</v>
      </c>
      <c r="X64" s="28">
        <v>44</v>
      </c>
      <c r="Y64" s="10">
        <v>44</v>
      </c>
      <c r="Z64" s="12">
        <f t="shared" si="6"/>
        <v>88</v>
      </c>
      <c r="AA64" s="26">
        <v>23</v>
      </c>
      <c r="AB64" s="5">
        <v>23</v>
      </c>
      <c r="AC64" s="9">
        <f t="shared" si="7"/>
        <v>46</v>
      </c>
      <c r="AD64" s="5">
        <v>23</v>
      </c>
      <c r="AE64" s="23">
        <v>18</v>
      </c>
      <c r="AF64" s="14">
        <v>18</v>
      </c>
      <c r="AG64" s="24">
        <f t="shared" si="8"/>
        <v>652</v>
      </c>
      <c r="AH64" s="25">
        <f t="shared" si="9"/>
        <v>76.705882352941174</v>
      </c>
      <c r="AI64" s="8" t="s">
        <v>329</v>
      </c>
      <c r="AJ64" s="14"/>
    </row>
    <row r="65" spans="1:36" ht="18" x14ac:dyDescent="0.35">
      <c r="A65" s="1">
        <v>59</v>
      </c>
      <c r="B65" s="19">
        <v>488073</v>
      </c>
      <c r="C65" s="20">
        <v>25410260175</v>
      </c>
      <c r="D65" s="8" t="s">
        <v>165</v>
      </c>
      <c r="E65" s="69">
        <v>56</v>
      </c>
      <c r="F65" s="5">
        <v>18</v>
      </c>
      <c r="G65" s="9">
        <f t="shared" si="1"/>
        <v>74</v>
      </c>
      <c r="H65" s="14">
        <v>18</v>
      </c>
      <c r="I65" s="69">
        <v>33</v>
      </c>
      <c r="J65" s="9">
        <v>30</v>
      </c>
      <c r="K65" s="9">
        <f t="shared" si="2"/>
        <v>63</v>
      </c>
      <c r="L65" s="9">
        <v>42</v>
      </c>
      <c r="M65" s="9">
        <v>45</v>
      </c>
      <c r="N65" s="9">
        <f t="shared" si="3"/>
        <v>87</v>
      </c>
      <c r="O65" s="9">
        <v>43</v>
      </c>
      <c r="P65" s="69">
        <v>55</v>
      </c>
      <c r="Q65" s="9">
        <v>26</v>
      </c>
      <c r="R65" s="9">
        <f t="shared" si="4"/>
        <v>81</v>
      </c>
      <c r="S65" s="9">
        <v>23</v>
      </c>
      <c r="T65" s="9">
        <v>20</v>
      </c>
      <c r="U65" s="9">
        <v>31</v>
      </c>
      <c r="V65" s="9">
        <v>44</v>
      </c>
      <c r="W65" s="9">
        <f t="shared" si="5"/>
        <v>75</v>
      </c>
      <c r="X65" s="28">
        <v>42</v>
      </c>
      <c r="Y65" s="10">
        <v>42</v>
      </c>
      <c r="Z65" s="12">
        <f t="shared" si="6"/>
        <v>84</v>
      </c>
      <c r="AA65" s="26">
        <v>22</v>
      </c>
      <c r="AB65" s="5">
        <v>22</v>
      </c>
      <c r="AC65" s="9">
        <f t="shared" si="7"/>
        <v>44</v>
      </c>
      <c r="AD65" s="5">
        <v>22</v>
      </c>
      <c r="AE65" s="23">
        <v>19</v>
      </c>
      <c r="AF65" s="14">
        <v>16</v>
      </c>
      <c r="AG65" s="24">
        <f t="shared" si="8"/>
        <v>669</v>
      </c>
      <c r="AH65" s="25">
        <f t="shared" si="9"/>
        <v>78.705882352941188</v>
      </c>
      <c r="AI65" s="8" t="s">
        <v>329</v>
      </c>
      <c r="AJ65" s="14"/>
    </row>
    <row r="66" spans="1:36" ht="18" x14ac:dyDescent="0.35">
      <c r="A66" s="1">
        <v>60</v>
      </c>
      <c r="B66" s="19">
        <v>488074</v>
      </c>
      <c r="C66" s="20">
        <v>25410260176</v>
      </c>
      <c r="D66" s="8" t="s">
        <v>166</v>
      </c>
      <c r="E66" s="69">
        <v>58</v>
      </c>
      <c r="F66" s="5">
        <v>22</v>
      </c>
      <c r="G66" s="9">
        <f t="shared" si="1"/>
        <v>80</v>
      </c>
      <c r="H66" s="14">
        <v>17</v>
      </c>
      <c r="I66" s="69">
        <v>33</v>
      </c>
      <c r="J66" s="9">
        <v>30</v>
      </c>
      <c r="K66" s="9">
        <f t="shared" si="2"/>
        <v>63</v>
      </c>
      <c r="L66" s="9">
        <v>46</v>
      </c>
      <c r="M66" s="9">
        <v>45</v>
      </c>
      <c r="N66" s="9">
        <f t="shared" si="3"/>
        <v>91</v>
      </c>
      <c r="O66" s="9">
        <v>43</v>
      </c>
      <c r="P66" s="69">
        <v>46</v>
      </c>
      <c r="Q66" s="9">
        <v>26</v>
      </c>
      <c r="R66" s="9">
        <f t="shared" si="4"/>
        <v>72</v>
      </c>
      <c r="S66" s="9">
        <v>23</v>
      </c>
      <c r="T66" s="9">
        <v>20</v>
      </c>
      <c r="U66" s="9">
        <v>31</v>
      </c>
      <c r="V66" s="9">
        <v>44</v>
      </c>
      <c r="W66" s="9">
        <f t="shared" si="5"/>
        <v>75</v>
      </c>
      <c r="X66" s="28">
        <v>40</v>
      </c>
      <c r="Y66" s="10">
        <v>40</v>
      </c>
      <c r="Z66" s="12">
        <f t="shared" si="6"/>
        <v>80</v>
      </c>
      <c r="AA66" s="26">
        <v>20</v>
      </c>
      <c r="AB66" s="5">
        <v>20</v>
      </c>
      <c r="AC66" s="9">
        <f t="shared" si="7"/>
        <v>40</v>
      </c>
      <c r="AD66" s="5">
        <v>20</v>
      </c>
      <c r="AE66" s="23">
        <v>18</v>
      </c>
      <c r="AF66" s="14">
        <v>18</v>
      </c>
      <c r="AG66" s="24">
        <f t="shared" si="8"/>
        <v>660</v>
      </c>
      <c r="AH66" s="25">
        <f t="shared" si="9"/>
        <v>77.64705882352942</v>
      </c>
      <c r="AI66" s="8" t="s">
        <v>329</v>
      </c>
      <c r="AJ66" s="14"/>
    </row>
    <row r="67" spans="1:36" ht="18" x14ac:dyDescent="0.35">
      <c r="A67" s="1">
        <v>61</v>
      </c>
      <c r="B67" s="19">
        <v>488075</v>
      </c>
      <c r="C67" s="20">
        <v>25410260177</v>
      </c>
      <c r="D67" s="8" t="s">
        <v>167</v>
      </c>
      <c r="E67" s="69">
        <v>47</v>
      </c>
      <c r="F67" s="5">
        <v>21</v>
      </c>
      <c r="G67" s="9">
        <f t="shared" si="1"/>
        <v>68</v>
      </c>
      <c r="H67" s="14">
        <v>17</v>
      </c>
      <c r="I67" s="69">
        <v>22</v>
      </c>
      <c r="J67" s="9">
        <v>27</v>
      </c>
      <c r="K67" s="9">
        <f t="shared" si="2"/>
        <v>49</v>
      </c>
      <c r="L67" s="9">
        <v>37</v>
      </c>
      <c r="M67" s="9">
        <v>35</v>
      </c>
      <c r="N67" s="9">
        <f t="shared" si="3"/>
        <v>72</v>
      </c>
      <c r="O67" s="9">
        <v>39</v>
      </c>
      <c r="P67" s="69">
        <v>55</v>
      </c>
      <c r="Q67" s="9">
        <v>23</v>
      </c>
      <c r="R67" s="9">
        <f t="shared" si="4"/>
        <v>78</v>
      </c>
      <c r="S67" s="9">
        <v>22</v>
      </c>
      <c r="T67" s="9">
        <v>20</v>
      </c>
      <c r="U67" s="9">
        <v>26</v>
      </c>
      <c r="V67" s="9">
        <v>39</v>
      </c>
      <c r="W67" s="9">
        <f t="shared" si="5"/>
        <v>65</v>
      </c>
      <c r="X67" s="28">
        <v>46</v>
      </c>
      <c r="Y67" s="10">
        <v>46</v>
      </c>
      <c r="Z67" s="12">
        <f t="shared" si="6"/>
        <v>92</v>
      </c>
      <c r="AA67" s="26">
        <v>23</v>
      </c>
      <c r="AB67" s="5">
        <v>23</v>
      </c>
      <c r="AC67" s="9">
        <f t="shared" si="7"/>
        <v>46</v>
      </c>
      <c r="AD67" s="5">
        <v>23</v>
      </c>
      <c r="AE67" s="23">
        <v>18</v>
      </c>
      <c r="AF67" s="14">
        <v>18</v>
      </c>
      <c r="AG67" s="24">
        <f t="shared" si="8"/>
        <v>627</v>
      </c>
      <c r="AH67" s="25">
        <f t="shared" si="9"/>
        <v>73.764705882352942</v>
      </c>
      <c r="AI67" s="8" t="s">
        <v>332</v>
      </c>
      <c r="AJ67" s="14"/>
    </row>
    <row r="68" spans="1:36" ht="18" x14ac:dyDescent="0.35">
      <c r="A68" s="1">
        <v>62</v>
      </c>
      <c r="B68" s="19">
        <v>488076</v>
      </c>
      <c r="C68" s="20">
        <v>25410260178</v>
      </c>
      <c r="D68" s="8" t="s">
        <v>168</v>
      </c>
      <c r="E68" s="69">
        <v>60</v>
      </c>
      <c r="F68" s="5">
        <v>20</v>
      </c>
      <c r="G68" s="9">
        <f t="shared" si="1"/>
        <v>80</v>
      </c>
      <c r="H68" s="14">
        <v>19</v>
      </c>
      <c r="I68" s="69">
        <v>24</v>
      </c>
      <c r="J68" s="9">
        <v>28</v>
      </c>
      <c r="K68" s="9">
        <f t="shared" si="2"/>
        <v>52</v>
      </c>
      <c r="L68" s="9">
        <v>35</v>
      </c>
      <c r="M68" s="9">
        <v>45</v>
      </c>
      <c r="N68" s="9">
        <f t="shared" si="3"/>
        <v>80</v>
      </c>
      <c r="O68" s="9">
        <v>39</v>
      </c>
      <c r="P68" s="69">
        <v>48</v>
      </c>
      <c r="Q68" s="9">
        <v>16</v>
      </c>
      <c r="R68" s="9">
        <f t="shared" si="4"/>
        <v>64</v>
      </c>
      <c r="S68" s="9">
        <v>18</v>
      </c>
      <c r="T68" s="9">
        <v>21</v>
      </c>
      <c r="U68" s="9">
        <v>29</v>
      </c>
      <c r="V68" s="9">
        <v>40</v>
      </c>
      <c r="W68" s="9">
        <f t="shared" si="5"/>
        <v>69</v>
      </c>
      <c r="X68" s="28">
        <v>42</v>
      </c>
      <c r="Y68" s="10">
        <v>42</v>
      </c>
      <c r="Z68" s="12">
        <f t="shared" si="6"/>
        <v>84</v>
      </c>
      <c r="AA68" s="26">
        <v>20</v>
      </c>
      <c r="AB68" s="5">
        <v>20</v>
      </c>
      <c r="AC68" s="9">
        <f t="shared" si="7"/>
        <v>40</v>
      </c>
      <c r="AD68" s="5">
        <v>20</v>
      </c>
      <c r="AE68" s="23">
        <v>18</v>
      </c>
      <c r="AF68" s="14">
        <v>18</v>
      </c>
      <c r="AG68" s="24">
        <f t="shared" si="8"/>
        <v>622</v>
      </c>
      <c r="AH68" s="25">
        <f t="shared" si="9"/>
        <v>73.176470588235304</v>
      </c>
      <c r="AI68" s="8" t="s">
        <v>332</v>
      </c>
      <c r="AJ68" s="14"/>
    </row>
    <row r="69" spans="1:36" ht="18" x14ac:dyDescent="0.35">
      <c r="A69" s="1">
        <v>63</v>
      </c>
      <c r="B69" s="19">
        <v>488077</v>
      </c>
      <c r="C69" s="20">
        <v>25410260179</v>
      </c>
      <c r="D69" s="8" t="s">
        <v>169</v>
      </c>
      <c r="E69" s="69">
        <v>55</v>
      </c>
      <c r="F69" s="5">
        <v>28</v>
      </c>
      <c r="G69" s="9">
        <f t="shared" si="1"/>
        <v>83</v>
      </c>
      <c r="H69" s="14">
        <v>18</v>
      </c>
      <c r="I69" s="69">
        <v>24</v>
      </c>
      <c r="J69" s="9">
        <v>29</v>
      </c>
      <c r="K69" s="9">
        <f t="shared" si="2"/>
        <v>53</v>
      </c>
      <c r="L69" s="9">
        <v>39</v>
      </c>
      <c r="M69" s="9">
        <v>37</v>
      </c>
      <c r="N69" s="9">
        <f t="shared" si="3"/>
        <v>76</v>
      </c>
      <c r="O69" s="9">
        <v>41</v>
      </c>
      <c r="P69" s="69">
        <v>51</v>
      </c>
      <c r="Q69" s="9">
        <v>18</v>
      </c>
      <c r="R69" s="9">
        <f t="shared" si="4"/>
        <v>69</v>
      </c>
      <c r="S69" s="9">
        <v>22</v>
      </c>
      <c r="T69" s="9">
        <v>21</v>
      </c>
      <c r="U69" s="9">
        <v>13</v>
      </c>
      <c r="V69" s="9">
        <v>44</v>
      </c>
      <c r="W69" s="9">
        <f t="shared" si="5"/>
        <v>57</v>
      </c>
      <c r="X69" s="28">
        <v>42</v>
      </c>
      <c r="Y69" s="10">
        <v>42</v>
      </c>
      <c r="Z69" s="12">
        <f t="shared" si="6"/>
        <v>84</v>
      </c>
      <c r="AA69" s="26">
        <v>22</v>
      </c>
      <c r="AB69" s="5">
        <v>22</v>
      </c>
      <c r="AC69" s="9">
        <f t="shared" si="7"/>
        <v>44</v>
      </c>
      <c r="AD69" s="5">
        <v>22</v>
      </c>
      <c r="AE69" s="23">
        <v>18</v>
      </c>
      <c r="AF69" s="14">
        <v>20</v>
      </c>
      <c r="AG69" s="24">
        <f t="shared" si="8"/>
        <v>628</v>
      </c>
      <c r="AH69" s="25">
        <f t="shared" si="9"/>
        <v>73.882352941176464</v>
      </c>
      <c r="AI69" s="8" t="s">
        <v>332</v>
      </c>
      <c r="AJ69" s="14"/>
    </row>
    <row r="70" spans="1:36" ht="18" x14ac:dyDescent="0.35">
      <c r="A70" s="1">
        <v>64</v>
      </c>
      <c r="B70" s="19">
        <v>488078</v>
      </c>
      <c r="C70" s="20">
        <v>25410260180</v>
      </c>
      <c r="D70" s="8" t="s">
        <v>170</v>
      </c>
      <c r="E70" s="69">
        <v>53</v>
      </c>
      <c r="F70" s="5">
        <v>20</v>
      </c>
      <c r="G70" s="9">
        <f t="shared" si="1"/>
        <v>73</v>
      </c>
      <c r="H70" s="14">
        <v>18</v>
      </c>
      <c r="I70" s="69">
        <v>24</v>
      </c>
      <c r="J70" s="9">
        <v>26</v>
      </c>
      <c r="K70" s="9">
        <f t="shared" si="2"/>
        <v>50</v>
      </c>
      <c r="L70" s="9">
        <v>37</v>
      </c>
      <c r="M70" s="9">
        <v>37</v>
      </c>
      <c r="N70" s="9">
        <f t="shared" si="3"/>
        <v>74</v>
      </c>
      <c r="O70" s="9">
        <v>41</v>
      </c>
      <c r="P70" s="69">
        <v>46</v>
      </c>
      <c r="Q70" s="9">
        <v>21</v>
      </c>
      <c r="R70" s="9">
        <f t="shared" si="4"/>
        <v>67</v>
      </c>
      <c r="S70" s="9">
        <v>20</v>
      </c>
      <c r="T70" s="9">
        <v>20</v>
      </c>
      <c r="U70" s="9">
        <v>25</v>
      </c>
      <c r="V70" s="9">
        <v>43</v>
      </c>
      <c r="W70" s="9">
        <f t="shared" si="5"/>
        <v>68</v>
      </c>
      <c r="X70" s="28">
        <v>44</v>
      </c>
      <c r="Y70" s="10">
        <v>44</v>
      </c>
      <c r="Z70" s="12">
        <f t="shared" si="6"/>
        <v>88</v>
      </c>
      <c r="AA70" s="26">
        <v>23</v>
      </c>
      <c r="AB70" s="5">
        <v>23</v>
      </c>
      <c r="AC70" s="9">
        <f t="shared" si="7"/>
        <v>46</v>
      </c>
      <c r="AD70" s="5">
        <v>23</v>
      </c>
      <c r="AE70" s="23">
        <v>19</v>
      </c>
      <c r="AF70" s="14">
        <v>19</v>
      </c>
      <c r="AG70" s="24">
        <f t="shared" si="8"/>
        <v>626</v>
      </c>
      <c r="AH70" s="25">
        <f t="shared" si="9"/>
        <v>73.647058823529406</v>
      </c>
      <c r="AI70" s="8" t="s">
        <v>332</v>
      </c>
      <c r="AJ70" s="14"/>
    </row>
    <row r="71" spans="1:36" ht="18" x14ac:dyDescent="0.35">
      <c r="A71" s="1">
        <v>65</v>
      </c>
      <c r="B71" s="19">
        <v>488079</v>
      </c>
      <c r="C71" s="20">
        <v>25410260181</v>
      </c>
      <c r="D71" s="8" t="s">
        <v>171</v>
      </c>
      <c r="E71" s="69">
        <v>43</v>
      </c>
      <c r="F71" s="5">
        <v>8</v>
      </c>
      <c r="G71" s="9">
        <f t="shared" si="1"/>
        <v>51</v>
      </c>
      <c r="H71" s="14">
        <v>17</v>
      </c>
      <c r="I71" s="69">
        <v>20</v>
      </c>
      <c r="J71" s="9">
        <v>25</v>
      </c>
      <c r="K71" s="9">
        <f t="shared" si="2"/>
        <v>45</v>
      </c>
      <c r="L71" s="9">
        <v>35</v>
      </c>
      <c r="M71" s="9">
        <v>35</v>
      </c>
      <c r="N71" s="9">
        <f t="shared" si="3"/>
        <v>70</v>
      </c>
      <c r="O71" s="9">
        <v>41</v>
      </c>
      <c r="P71" s="69">
        <v>45</v>
      </c>
      <c r="Q71" s="9">
        <v>21</v>
      </c>
      <c r="R71" s="9">
        <f t="shared" si="4"/>
        <v>66</v>
      </c>
      <c r="S71" s="9">
        <v>20</v>
      </c>
      <c r="T71" s="9">
        <v>20</v>
      </c>
      <c r="U71" s="9">
        <v>22</v>
      </c>
      <c r="V71" s="9">
        <v>39</v>
      </c>
      <c r="W71" s="9">
        <f t="shared" si="5"/>
        <v>61</v>
      </c>
      <c r="X71" s="28">
        <v>42</v>
      </c>
      <c r="Y71" s="10">
        <v>42</v>
      </c>
      <c r="Z71" s="12">
        <f t="shared" si="6"/>
        <v>84</v>
      </c>
      <c r="AA71" s="26">
        <v>22</v>
      </c>
      <c r="AB71" s="5">
        <v>22</v>
      </c>
      <c r="AC71" s="9">
        <f t="shared" si="7"/>
        <v>44</v>
      </c>
      <c r="AD71" s="5">
        <v>22</v>
      </c>
      <c r="AE71" s="23">
        <v>18</v>
      </c>
      <c r="AF71" s="14">
        <v>18</v>
      </c>
      <c r="AG71" s="24">
        <f t="shared" si="8"/>
        <v>577</v>
      </c>
      <c r="AH71" s="25">
        <f t="shared" ref="AH71:AH73" si="10">AG71/$AG$6*100</f>
        <v>67.882352941176478</v>
      </c>
      <c r="AI71" s="8" t="s">
        <v>332</v>
      </c>
      <c r="AJ71" s="14"/>
    </row>
    <row r="72" spans="1:36" ht="18" x14ac:dyDescent="0.35">
      <c r="A72" s="1">
        <v>66</v>
      </c>
      <c r="B72" s="19">
        <v>488080</v>
      </c>
      <c r="C72" s="20">
        <v>25410260182</v>
      </c>
      <c r="D72" s="8" t="s">
        <v>172</v>
      </c>
      <c r="E72" s="69">
        <v>65</v>
      </c>
      <c r="F72" s="5">
        <v>30</v>
      </c>
      <c r="G72" s="9">
        <f t="shared" ref="G72:G73" si="11">SUM(E72,F72)</f>
        <v>95</v>
      </c>
      <c r="H72" s="14">
        <v>17</v>
      </c>
      <c r="I72" s="69">
        <v>23</v>
      </c>
      <c r="J72" s="9">
        <v>30</v>
      </c>
      <c r="K72" s="9">
        <f t="shared" ref="K72:K73" si="12">SUM(I72,J72)</f>
        <v>53</v>
      </c>
      <c r="L72" s="9">
        <v>36</v>
      </c>
      <c r="M72" s="9">
        <v>46</v>
      </c>
      <c r="N72" s="9">
        <f t="shared" ref="N72:N73" si="13">SUM(L72,M72)</f>
        <v>82</v>
      </c>
      <c r="O72" s="9">
        <v>42</v>
      </c>
      <c r="P72" s="69">
        <v>49</v>
      </c>
      <c r="Q72" s="9">
        <v>24</v>
      </c>
      <c r="R72" s="9">
        <f t="shared" ref="R72:R73" si="14">SUM(P72,Q72)</f>
        <v>73</v>
      </c>
      <c r="S72" s="9">
        <v>22</v>
      </c>
      <c r="T72" s="9">
        <v>21</v>
      </c>
      <c r="U72" s="9">
        <v>20</v>
      </c>
      <c r="V72" s="9">
        <v>45</v>
      </c>
      <c r="W72" s="9">
        <f t="shared" ref="W72:W73" si="15">SUM(U72,V72)</f>
        <v>65</v>
      </c>
      <c r="X72" s="28">
        <v>46</v>
      </c>
      <c r="Y72" s="10">
        <v>46</v>
      </c>
      <c r="Z72" s="12">
        <f t="shared" ref="Z72:Z73" si="16">SUM(X72,Y72)</f>
        <v>92</v>
      </c>
      <c r="AA72" s="26">
        <v>23</v>
      </c>
      <c r="AB72" s="5">
        <v>23</v>
      </c>
      <c r="AC72" s="9">
        <f t="shared" ref="AC72:AC73" si="17">SUM(AA72,AB72)</f>
        <v>46</v>
      </c>
      <c r="AD72" s="5">
        <v>23</v>
      </c>
      <c r="AE72" s="23">
        <v>18</v>
      </c>
      <c r="AF72" s="14">
        <v>20</v>
      </c>
      <c r="AG72" s="24">
        <f t="shared" ref="AG72:AG73" si="18">SUM(G72,H72,K72,N72,O72,R72,S72,T72,W72,Z72,AC72,AD72,AE72,AF72)</f>
        <v>669</v>
      </c>
      <c r="AH72" s="25">
        <f t="shared" si="10"/>
        <v>78.705882352941188</v>
      </c>
      <c r="AI72" s="8" t="s">
        <v>329</v>
      </c>
      <c r="AJ72" s="14"/>
    </row>
    <row r="73" spans="1:36" ht="18" x14ac:dyDescent="0.35">
      <c r="A73" s="1">
        <v>67</v>
      </c>
      <c r="B73" s="19">
        <v>488081</v>
      </c>
      <c r="C73" s="20">
        <v>25410260183</v>
      </c>
      <c r="D73" s="1" t="s">
        <v>173</v>
      </c>
      <c r="E73" s="69">
        <v>50</v>
      </c>
      <c r="F73" s="5">
        <v>18</v>
      </c>
      <c r="G73" s="9">
        <f t="shared" si="11"/>
        <v>68</v>
      </c>
      <c r="H73" s="14">
        <v>18</v>
      </c>
      <c r="I73" s="69">
        <v>21</v>
      </c>
      <c r="J73" s="9">
        <v>24</v>
      </c>
      <c r="K73" s="9">
        <f t="shared" si="12"/>
        <v>45</v>
      </c>
      <c r="L73" s="9">
        <v>36</v>
      </c>
      <c r="M73" s="9">
        <v>45</v>
      </c>
      <c r="N73" s="9">
        <f t="shared" si="13"/>
        <v>81</v>
      </c>
      <c r="O73" s="9">
        <v>42</v>
      </c>
      <c r="P73" s="69">
        <v>33</v>
      </c>
      <c r="Q73" s="9">
        <v>16</v>
      </c>
      <c r="R73" s="9">
        <f t="shared" si="14"/>
        <v>49</v>
      </c>
      <c r="S73" s="9">
        <v>17</v>
      </c>
      <c r="T73" s="9">
        <v>20</v>
      </c>
      <c r="U73" s="9">
        <v>28</v>
      </c>
      <c r="V73" s="9">
        <v>38</v>
      </c>
      <c r="W73" s="9">
        <f t="shared" si="15"/>
        <v>66</v>
      </c>
      <c r="X73" s="28">
        <v>36</v>
      </c>
      <c r="Y73" s="10">
        <v>36</v>
      </c>
      <c r="Z73" s="12">
        <f t="shared" si="16"/>
        <v>72</v>
      </c>
      <c r="AA73" s="26">
        <v>18</v>
      </c>
      <c r="AB73" s="5">
        <v>20</v>
      </c>
      <c r="AC73" s="9">
        <f t="shared" si="17"/>
        <v>38</v>
      </c>
      <c r="AD73" s="5">
        <v>20</v>
      </c>
      <c r="AE73" s="23">
        <v>18</v>
      </c>
      <c r="AF73" s="14">
        <v>20</v>
      </c>
      <c r="AG73" s="24">
        <f t="shared" si="18"/>
        <v>574</v>
      </c>
      <c r="AH73" s="25">
        <f t="shared" si="10"/>
        <v>67.529411764705884</v>
      </c>
      <c r="AI73" s="8" t="s">
        <v>332</v>
      </c>
      <c r="AJ73" s="14"/>
    </row>
    <row r="74" spans="1:36" ht="18" x14ac:dyDescent="0.35">
      <c r="A74" s="1"/>
      <c r="B74" s="19"/>
      <c r="C74" s="20"/>
      <c r="D74" s="1"/>
      <c r="E74" s="109"/>
      <c r="F74" s="51"/>
      <c r="G74" s="30"/>
      <c r="I74" s="113"/>
      <c r="J74" s="32"/>
      <c r="K74" s="32"/>
      <c r="L74" s="32"/>
      <c r="M74" s="32"/>
      <c r="N74" s="32"/>
      <c r="O74" s="32"/>
      <c r="P74" s="113"/>
      <c r="Q74" s="32"/>
      <c r="R74" s="32"/>
      <c r="S74" s="32"/>
      <c r="T74" s="32"/>
      <c r="U74" s="32"/>
      <c r="V74" s="32"/>
      <c r="W74" s="32"/>
      <c r="X74" s="52"/>
      <c r="Y74" s="53"/>
      <c r="Z74" s="54"/>
      <c r="AA74" s="55"/>
      <c r="AB74" s="51"/>
      <c r="AC74" s="32"/>
      <c r="AD74" s="51"/>
      <c r="AE74" s="23"/>
      <c r="AF74" s="14"/>
      <c r="AG74" s="56"/>
      <c r="AH74" s="57"/>
      <c r="AI74" s="8"/>
      <c r="AJ74" s="14"/>
    </row>
    <row r="75" spans="1:36" ht="18" x14ac:dyDescent="0.35">
      <c r="A75" s="1"/>
      <c r="B75" s="19"/>
      <c r="C75" s="20"/>
      <c r="D75" s="1"/>
      <c r="E75" s="109"/>
      <c r="F75" s="51"/>
      <c r="G75" s="30"/>
      <c r="I75" s="113"/>
      <c r="J75" s="32"/>
      <c r="K75" s="32"/>
      <c r="L75" s="32"/>
      <c r="M75" s="32"/>
      <c r="N75" s="32"/>
      <c r="O75" s="32"/>
      <c r="P75" s="113"/>
      <c r="Q75" s="32"/>
      <c r="R75" s="32"/>
      <c r="S75" s="32"/>
      <c r="T75" s="32"/>
      <c r="U75" s="32"/>
      <c r="V75" s="32"/>
      <c r="W75" s="32"/>
      <c r="X75" s="52"/>
      <c r="Y75" s="53"/>
      <c r="Z75" s="54"/>
      <c r="AA75" s="55"/>
      <c r="AB75" s="51"/>
      <c r="AC75" s="32"/>
      <c r="AD75" s="51"/>
      <c r="AE75" s="23"/>
      <c r="AF75" s="14"/>
      <c r="AG75" s="56"/>
      <c r="AH75" s="57"/>
      <c r="AI75" s="8"/>
      <c r="AJ75" s="14"/>
    </row>
    <row r="76" spans="1:36" ht="18" x14ac:dyDescent="0.35">
      <c r="A76" s="1"/>
      <c r="B76" s="19"/>
      <c r="C76" s="20"/>
      <c r="D76" s="1"/>
      <c r="E76" s="109"/>
      <c r="F76" s="51"/>
      <c r="G76" s="30"/>
      <c r="I76" s="113"/>
      <c r="J76" s="32"/>
      <c r="K76" s="32"/>
      <c r="L76" s="32"/>
      <c r="M76" s="32"/>
      <c r="N76" s="32"/>
      <c r="O76" s="32"/>
      <c r="P76" s="113"/>
      <c r="Q76" s="32"/>
      <c r="R76" s="32"/>
      <c r="S76" s="32"/>
      <c r="T76" s="32"/>
      <c r="U76" s="32"/>
      <c r="V76" s="32"/>
      <c r="W76" s="32"/>
      <c r="X76" s="52"/>
      <c r="Y76" s="53"/>
      <c r="Z76" s="54"/>
      <c r="AA76" s="55"/>
      <c r="AB76" s="51"/>
      <c r="AC76" s="32"/>
      <c r="AD76" s="51"/>
      <c r="AE76" s="23"/>
      <c r="AF76" s="14"/>
      <c r="AG76" s="56"/>
      <c r="AH76" s="57"/>
      <c r="AI76" s="8"/>
      <c r="AJ76" s="14"/>
    </row>
    <row r="77" spans="1:36" ht="18" x14ac:dyDescent="0.35">
      <c r="A77" s="1"/>
      <c r="B77" s="19"/>
      <c r="C77" s="20"/>
      <c r="D77" s="1"/>
      <c r="E77" s="109"/>
      <c r="F77" s="51"/>
      <c r="G77" s="30"/>
      <c r="I77" s="113"/>
      <c r="J77" s="32"/>
      <c r="K77" s="32"/>
      <c r="L77" s="32"/>
      <c r="M77" s="32"/>
      <c r="N77" s="32"/>
      <c r="O77" s="32"/>
      <c r="P77" s="113"/>
      <c r="Q77" s="32"/>
      <c r="R77" s="32"/>
      <c r="S77" s="32"/>
      <c r="T77" s="32"/>
      <c r="U77" s="32"/>
      <c r="V77" s="32"/>
      <c r="W77" s="32"/>
      <c r="X77" s="52"/>
      <c r="Y77" s="53"/>
      <c r="Z77" s="54"/>
      <c r="AA77" s="55"/>
      <c r="AB77" s="51"/>
      <c r="AC77" s="32"/>
      <c r="AD77" s="51"/>
      <c r="AE77" s="23"/>
      <c r="AF77" s="14"/>
      <c r="AG77" s="56"/>
      <c r="AH77" s="57"/>
      <c r="AI77" s="8"/>
      <c r="AJ77" s="14"/>
    </row>
    <row r="78" spans="1:36" ht="15.6" x14ac:dyDescent="0.3">
      <c r="A78" s="1"/>
      <c r="B78" s="8"/>
      <c r="C78" s="9"/>
      <c r="D78" s="8"/>
      <c r="E78" s="109"/>
      <c r="F78" s="29"/>
      <c r="G78" s="30"/>
      <c r="H78" s="31"/>
      <c r="I78" s="113"/>
      <c r="J78" s="32"/>
      <c r="K78" s="32"/>
      <c r="L78" s="32"/>
      <c r="M78" s="32"/>
      <c r="N78" s="32"/>
      <c r="O78" s="32"/>
      <c r="P78" s="113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114"/>
      <c r="AF78" s="114"/>
      <c r="AG78" s="33"/>
      <c r="AH78" s="33"/>
      <c r="AI78" s="8"/>
      <c r="AJ78" s="14"/>
    </row>
    <row r="79" spans="1:36" ht="15.6" x14ac:dyDescent="0.3">
      <c r="A79" s="1"/>
      <c r="B79" s="1"/>
      <c r="C79" s="1"/>
      <c r="D79" s="1"/>
      <c r="E79" s="110"/>
      <c r="F79" s="34"/>
      <c r="G79" s="34"/>
      <c r="H79" s="34"/>
      <c r="I79" s="110"/>
      <c r="J79" s="34"/>
      <c r="K79" s="34"/>
      <c r="L79" s="34"/>
      <c r="M79" s="34"/>
      <c r="N79" s="34"/>
      <c r="O79" s="34"/>
      <c r="P79" s="110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1"/>
      <c r="AH79" s="1"/>
      <c r="AI79" s="1"/>
      <c r="AJ79" s="14"/>
    </row>
    <row r="80" spans="1:36" ht="15.6" x14ac:dyDescent="0.3">
      <c r="A80" s="1"/>
      <c r="B80" s="1"/>
      <c r="C80" s="1"/>
      <c r="D80" s="8" t="s">
        <v>9</v>
      </c>
      <c r="E80" s="69">
        <f>MIN(E7:E73)</f>
        <v>19</v>
      </c>
      <c r="F80" s="9">
        <f t="shared" ref="F80:AG80" si="19">MIN(F7:F73)</f>
        <v>1</v>
      </c>
      <c r="G80" s="9">
        <f t="shared" si="19"/>
        <v>0</v>
      </c>
      <c r="H80" s="9">
        <f t="shared" si="19"/>
        <v>17</v>
      </c>
      <c r="I80" s="69">
        <f t="shared" si="19"/>
        <v>14</v>
      </c>
      <c r="J80" s="9">
        <f t="shared" si="19"/>
        <v>10</v>
      </c>
      <c r="K80" s="9">
        <f t="shared" si="19"/>
        <v>0</v>
      </c>
      <c r="L80" s="9">
        <f t="shared" si="19"/>
        <v>34</v>
      </c>
      <c r="M80" s="9">
        <f t="shared" si="19"/>
        <v>34</v>
      </c>
      <c r="N80" s="9">
        <f t="shared" si="19"/>
        <v>0</v>
      </c>
      <c r="O80" s="9">
        <f t="shared" si="19"/>
        <v>27</v>
      </c>
      <c r="P80" s="69">
        <f t="shared" si="19"/>
        <v>23</v>
      </c>
      <c r="Q80" s="9">
        <f t="shared" si="19"/>
        <v>10</v>
      </c>
      <c r="R80" s="9">
        <f t="shared" si="19"/>
        <v>11</v>
      </c>
      <c r="S80" s="9">
        <f t="shared" si="19"/>
        <v>0</v>
      </c>
      <c r="T80" s="9">
        <f t="shared" si="19"/>
        <v>0</v>
      </c>
      <c r="U80" s="9">
        <f t="shared" si="19"/>
        <v>3</v>
      </c>
      <c r="V80" s="9">
        <f t="shared" si="19"/>
        <v>31</v>
      </c>
      <c r="W80" s="9">
        <f t="shared" si="19"/>
        <v>0</v>
      </c>
      <c r="X80" s="9">
        <f t="shared" si="19"/>
        <v>30</v>
      </c>
      <c r="Y80" s="9">
        <f t="shared" si="19"/>
        <v>36</v>
      </c>
      <c r="Z80" s="9">
        <f t="shared" si="19"/>
        <v>0</v>
      </c>
      <c r="AA80" s="9">
        <f t="shared" si="19"/>
        <v>18</v>
      </c>
      <c r="AB80" s="9">
        <f t="shared" si="19"/>
        <v>19</v>
      </c>
      <c r="AC80" s="9">
        <f t="shared" si="19"/>
        <v>0</v>
      </c>
      <c r="AD80" s="9">
        <f t="shared" si="19"/>
        <v>20</v>
      </c>
      <c r="AE80" s="9">
        <f t="shared" si="19"/>
        <v>17</v>
      </c>
      <c r="AF80" s="9">
        <f t="shared" si="19"/>
        <v>16</v>
      </c>
      <c r="AG80" s="9">
        <f t="shared" si="19"/>
        <v>68</v>
      </c>
      <c r="AH80" s="1"/>
      <c r="AI80" s="1"/>
      <c r="AJ80" s="14"/>
    </row>
    <row r="81" spans="1:36" ht="15.6" x14ac:dyDescent="0.3">
      <c r="A81" s="1"/>
      <c r="B81" s="1"/>
      <c r="C81" s="1"/>
      <c r="D81" s="8" t="s">
        <v>10</v>
      </c>
      <c r="E81" s="69">
        <f>MAX(E7:E73)</f>
        <v>70</v>
      </c>
      <c r="F81" s="9">
        <f t="shared" ref="F81:AG81" si="20">MAX(F7:F73)</f>
        <v>30</v>
      </c>
      <c r="G81" s="9">
        <f t="shared" si="20"/>
        <v>100</v>
      </c>
      <c r="H81" s="9">
        <f t="shared" si="20"/>
        <v>19</v>
      </c>
      <c r="I81" s="69">
        <f t="shared" si="20"/>
        <v>40</v>
      </c>
      <c r="J81" s="9">
        <f t="shared" si="20"/>
        <v>30</v>
      </c>
      <c r="K81" s="9">
        <f t="shared" si="20"/>
        <v>70</v>
      </c>
      <c r="L81" s="9">
        <f t="shared" si="20"/>
        <v>46</v>
      </c>
      <c r="M81" s="9">
        <f t="shared" si="20"/>
        <v>48</v>
      </c>
      <c r="N81" s="9">
        <f t="shared" si="20"/>
        <v>93</v>
      </c>
      <c r="O81" s="9">
        <f t="shared" si="20"/>
        <v>44</v>
      </c>
      <c r="P81" s="69">
        <f t="shared" si="20"/>
        <v>55</v>
      </c>
      <c r="Q81" s="9">
        <f t="shared" si="20"/>
        <v>29</v>
      </c>
      <c r="R81" s="9">
        <f t="shared" si="20"/>
        <v>82</v>
      </c>
      <c r="S81" s="9">
        <f t="shared" si="20"/>
        <v>23</v>
      </c>
      <c r="T81" s="9">
        <f t="shared" si="20"/>
        <v>23</v>
      </c>
      <c r="U81" s="9">
        <f t="shared" si="20"/>
        <v>44</v>
      </c>
      <c r="V81" s="9">
        <f t="shared" si="20"/>
        <v>46</v>
      </c>
      <c r="W81" s="9">
        <f t="shared" si="20"/>
        <v>89</v>
      </c>
      <c r="X81" s="9">
        <f t="shared" si="20"/>
        <v>46</v>
      </c>
      <c r="Y81" s="9">
        <f t="shared" si="20"/>
        <v>46</v>
      </c>
      <c r="Z81" s="9">
        <f t="shared" si="20"/>
        <v>92</v>
      </c>
      <c r="AA81" s="9">
        <f t="shared" si="20"/>
        <v>23</v>
      </c>
      <c r="AB81" s="9">
        <f t="shared" si="20"/>
        <v>23</v>
      </c>
      <c r="AC81" s="9">
        <f t="shared" si="20"/>
        <v>46</v>
      </c>
      <c r="AD81" s="9">
        <f t="shared" si="20"/>
        <v>23</v>
      </c>
      <c r="AE81" s="9">
        <f t="shared" si="20"/>
        <v>20</v>
      </c>
      <c r="AF81" s="9">
        <f t="shared" si="20"/>
        <v>21</v>
      </c>
      <c r="AG81" s="9">
        <f t="shared" si="20"/>
        <v>713</v>
      </c>
      <c r="AH81" s="1"/>
      <c r="AI81" s="1"/>
      <c r="AJ81" s="14"/>
    </row>
    <row r="82" spans="1:36" ht="15.6" x14ac:dyDescent="0.3">
      <c r="A82" s="1"/>
      <c r="B82" s="1"/>
      <c r="C82" s="1"/>
      <c r="D82" s="8" t="s">
        <v>11</v>
      </c>
      <c r="E82" s="69">
        <f>COUNTIF(E7:E73,"&gt;=0")</f>
        <v>64</v>
      </c>
      <c r="F82" s="9">
        <f t="shared" ref="F82:AG82" si="21">COUNTIF(F7:F73,"&gt;=0")</f>
        <v>66</v>
      </c>
      <c r="G82" s="9">
        <f t="shared" si="21"/>
        <v>67</v>
      </c>
      <c r="H82" s="9">
        <f t="shared" si="21"/>
        <v>64</v>
      </c>
      <c r="I82" s="69">
        <f t="shared" si="21"/>
        <v>62</v>
      </c>
      <c r="J82" s="9">
        <f t="shared" si="21"/>
        <v>63</v>
      </c>
      <c r="K82" s="9">
        <f t="shared" si="21"/>
        <v>67</v>
      </c>
      <c r="L82" s="9">
        <f t="shared" si="21"/>
        <v>62</v>
      </c>
      <c r="M82" s="9">
        <f t="shared" si="21"/>
        <v>62</v>
      </c>
      <c r="N82" s="9">
        <f t="shared" si="21"/>
        <v>66</v>
      </c>
      <c r="O82" s="9">
        <f t="shared" si="21"/>
        <v>64</v>
      </c>
      <c r="P82" s="69">
        <f t="shared" si="21"/>
        <v>65</v>
      </c>
      <c r="Q82" s="9">
        <f t="shared" si="21"/>
        <v>67</v>
      </c>
      <c r="R82" s="9">
        <f t="shared" si="21"/>
        <v>67</v>
      </c>
      <c r="S82" s="9">
        <f t="shared" si="21"/>
        <v>67</v>
      </c>
      <c r="T82" s="9">
        <f t="shared" si="21"/>
        <v>67</v>
      </c>
      <c r="U82" s="9">
        <f t="shared" si="21"/>
        <v>64</v>
      </c>
      <c r="V82" s="9">
        <f t="shared" si="21"/>
        <v>65</v>
      </c>
      <c r="W82" s="9">
        <f t="shared" si="21"/>
        <v>66</v>
      </c>
      <c r="X82" s="9">
        <f t="shared" si="21"/>
        <v>64</v>
      </c>
      <c r="Y82" s="9">
        <f t="shared" si="21"/>
        <v>65</v>
      </c>
      <c r="Z82" s="9">
        <f t="shared" si="21"/>
        <v>67</v>
      </c>
      <c r="AA82" s="9">
        <f t="shared" si="21"/>
        <v>60</v>
      </c>
      <c r="AB82" s="9">
        <f t="shared" si="21"/>
        <v>60</v>
      </c>
      <c r="AC82" s="9">
        <f t="shared" si="21"/>
        <v>67</v>
      </c>
      <c r="AD82" s="9">
        <f t="shared" si="21"/>
        <v>60</v>
      </c>
      <c r="AE82" s="9">
        <f t="shared" si="21"/>
        <v>65</v>
      </c>
      <c r="AF82" s="9">
        <f t="shared" si="21"/>
        <v>65</v>
      </c>
      <c r="AG82" s="9">
        <f t="shared" si="21"/>
        <v>67</v>
      </c>
      <c r="AH82" s="1"/>
      <c r="AI82" s="1"/>
      <c r="AJ82" s="14"/>
    </row>
    <row r="83" spans="1:36" ht="15.6" x14ac:dyDescent="0.3">
      <c r="A83" s="1"/>
      <c r="B83" s="1"/>
      <c r="C83" s="1"/>
      <c r="D83" s="8" t="s">
        <v>12</v>
      </c>
      <c r="E83" s="69">
        <f>COUNTIF(E7:E73,"&gt;="&amp;E2)</f>
        <v>0</v>
      </c>
      <c r="F83" s="9">
        <f t="shared" ref="F83:AG83" si="22">COUNTIF(F7:F73,"&gt;="&amp;F2)</f>
        <v>0</v>
      </c>
      <c r="G83" s="9">
        <f t="shared" si="22"/>
        <v>61</v>
      </c>
      <c r="H83" s="9">
        <f t="shared" si="22"/>
        <v>64</v>
      </c>
      <c r="I83" s="69">
        <f t="shared" si="22"/>
        <v>0</v>
      </c>
      <c r="J83" s="9">
        <f t="shared" si="22"/>
        <v>0</v>
      </c>
      <c r="K83" s="9">
        <f t="shared" si="22"/>
        <v>58</v>
      </c>
      <c r="L83" s="9">
        <f t="shared" si="22"/>
        <v>62</v>
      </c>
      <c r="M83" s="9">
        <f t="shared" si="22"/>
        <v>62</v>
      </c>
      <c r="N83" s="9">
        <f t="shared" si="22"/>
        <v>0</v>
      </c>
      <c r="O83" s="9">
        <f t="shared" si="22"/>
        <v>64</v>
      </c>
      <c r="P83" s="69">
        <f t="shared" si="22"/>
        <v>0</v>
      </c>
      <c r="Q83" s="9">
        <f t="shared" si="22"/>
        <v>0</v>
      </c>
      <c r="R83" s="9">
        <f t="shared" si="22"/>
        <v>64</v>
      </c>
      <c r="S83" s="9">
        <f t="shared" si="22"/>
        <v>65</v>
      </c>
      <c r="T83" s="9">
        <f t="shared" si="22"/>
        <v>65</v>
      </c>
      <c r="U83" s="9">
        <f t="shared" si="22"/>
        <v>58</v>
      </c>
      <c r="V83" s="9">
        <f t="shared" si="22"/>
        <v>65</v>
      </c>
      <c r="W83" s="9">
        <f t="shared" si="22"/>
        <v>0</v>
      </c>
      <c r="X83" s="9">
        <f t="shared" si="22"/>
        <v>64</v>
      </c>
      <c r="Y83" s="9">
        <f t="shared" si="22"/>
        <v>65</v>
      </c>
      <c r="Z83" s="9">
        <f t="shared" si="22"/>
        <v>65</v>
      </c>
      <c r="AA83" s="9">
        <f t="shared" si="22"/>
        <v>60</v>
      </c>
      <c r="AB83" s="9">
        <f t="shared" si="22"/>
        <v>60</v>
      </c>
      <c r="AC83" s="9">
        <f t="shared" si="22"/>
        <v>0</v>
      </c>
      <c r="AD83" s="9">
        <f t="shared" si="22"/>
        <v>60</v>
      </c>
      <c r="AE83" s="9">
        <f t="shared" si="22"/>
        <v>65</v>
      </c>
      <c r="AF83" s="9">
        <f t="shared" si="22"/>
        <v>65</v>
      </c>
      <c r="AG83" s="9">
        <f t="shared" si="22"/>
        <v>0</v>
      </c>
      <c r="AH83" s="1"/>
      <c r="AI83" s="1"/>
      <c r="AJ83" s="14"/>
    </row>
    <row r="84" spans="1:36" ht="15.6" x14ac:dyDescent="0.3">
      <c r="A84" s="1"/>
      <c r="B84" s="1"/>
      <c r="C84" s="1"/>
      <c r="D84" s="8" t="s">
        <v>14</v>
      </c>
      <c r="E84" s="69">
        <f>COUNTIF(E7:E73,"&gt;="&amp;E1)</f>
        <v>0</v>
      </c>
      <c r="F84" s="9">
        <f t="shared" ref="F84:AG84" si="23">COUNTIF(F7:F73,"&gt;="&amp;F1)</f>
        <v>0</v>
      </c>
      <c r="G84" s="9">
        <f t="shared" si="23"/>
        <v>50</v>
      </c>
      <c r="H84" s="9">
        <f t="shared" si="23"/>
        <v>64</v>
      </c>
      <c r="I84" s="69">
        <f t="shared" si="23"/>
        <v>0</v>
      </c>
      <c r="J84" s="9">
        <f t="shared" si="23"/>
        <v>0</v>
      </c>
      <c r="K84" s="9">
        <f t="shared" si="23"/>
        <v>14</v>
      </c>
      <c r="L84" s="9">
        <f t="shared" si="23"/>
        <v>62</v>
      </c>
      <c r="M84" s="9">
        <f t="shared" si="23"/>
        <v>62</v>
      </c>
      <c r="N84" s="9">
        <f t="shared" si="23"/>
        <v>0</v>
      </c>
      <c r="O84" s="9">
        <f t="shared" si="23"/>
        <v>63</v>
      </c>
      <c r="P84" s="69">
        <f t="shared" si="23"/>
        <v>0</v>
      </c>
      <c r="Q84" s="9">
        <f t="shared" si="23"/>
        <v>0</v>
      </c>
      <c r="R84" s="9">
        <f t="shared" si="23"/>
        <v>52</v>
      </c>
      <c r="S84" s="9">
        <f t="shared" si="23"/>
        <v>65</v>
      </c>
      <c r="T84" s="9">
        <f t="shared" si="23"/>
        <v>65</v>
      </c>
      <c r="U84" s="9">
        <f t="shared" si="23"/>
        <v>20</v>
      </c>
      <c r="V84" s="9">
        <f t="shared" si="23"/>
        <v>65</v>
      </c>
      <c r="W84" s="9">
        <f t="shared" si="23"/>
        <v>0</v>
      </c>
      <c r="X84" s="9">
        <f t="shared" si="23"/>
        <v>64</v>
      </c>
      <c r="Y84" s="9">
        <f t="shared" si="23"/>
        <v>65</v>
      </c>
      <c r="Z84" s="9">
        <f t="shared" si="23"/>
        <v>64</v>
      </c>
      <c r="AA84" s="9">
        <f t="shared" si="23"/>
        <v>60</v>
      </c>
      <c r="AB84" s="9">
        <f t="shared" si="23"/>
        <v>60</v>
      </c>
      <c r="AC84" s="9">
        <f t="shared" si="23"/>
        <v>0</v>
      </c>
      <c r="AD84" s="9">
        <f t="shared" si="23"/>
        <v>60</v>
      </c>
      <c r="AE84" s="9">
        <f t="shared" si="23"/>
        <v>65</v>
      </c>
      <c r="AF84" s="9">
        <f t="shared" si="23"/>
        <v>65</v>
      </c>
      <c r="AG84" s="9">
        <f t="shared" si="23"/>
        <v>0</v>
      </c>
      <c r="AH84" s="1"/>
      <c r="AI84" s="1"/>
      <c r="AJ84" s="14"/>
    </row>
    <row r="85" spans="1:36" ht="15.6" x14ac:dyDescent="0.3">
      <c r="A85" s="1"/>
      <c r="B85" s="1"/>
      <c r="C85" s="1"/>
      <c r="D85" s="8" t="s">
        <v>174</v>
      </c>
      <c r="E85" s="69">
        <f>SUM(E7:E73)</f>
        <v>3290</v>
      </c>
      <c r="F85" s="9">
        <f t="shared" ref="F85:AG85" si="24">SUM(F7:F73)</f>
        <v>1340</v>
      </c>
      <c r="G85" s="9">
        <f t="shared" si="24"/>
        <v>4630</v>
      </c>
      <c r="H85" s="9">
        <f t="shared" si="24"/>
        <v>1126</v>
      </c>
      <c r="I85" s="69">
        <f t="shared" si="24"/>
        <v>1539</v>
      </c>
      <c r="J85" s="9">
        <f t="shared" si="24"/>
        <v>1692</v>
      </c>
      <c r="K85" s="9">
        <f t="shared" si="24"/>
        <v>3231</v>
      </c>
      <c r="L85" s="9">
        <f t="shared" si="24"/>
        <v>2539</v>
      </c>
      <c r="M85" s="9">
        <f t="shared" si="24"/>
        <v>2733</v>
      </c>
      <c r="N85" s="9">
        <f t="shared" si="24"/>
        <v>5272</v>
      </c>
      <c r="O85" s="9">
        <f t="shared" si="24"/>
        <v>2595</v>
      </c>
      <c r="P85" s="69">
        <f t="shared" si="24"/>
        <v>2904</v>
      </c>
      <c r="Q85" s="9">
        <f t="shared" si="24"/>
        <v>1462</v>
      </c>
      <c r="R85" s="9">
        <f t="shared" si="24"/>
        <v>4366</v>
      </c>
      <c r="S85" s="9">
        <f t="shared" si="24"/>
        <v>1369</v>
      </c>
      <c r="T85" s="9">
        <f t="shared" si="24"/>
        <v>1362</v>
      </c>
      <c r="U85" s="9">
        <f t="shared" si="24"/>
        <v>1655</v>
      </c>
      <c r="V85" s="9">
        <f t="shared" si="24"/>
        <v>2615</v>
      </c>
      <c r="W85" s="9">
        <f t="shared" si="24"/>
        <v>4270</v>
      </c>
      <c r="X85" s="9">
        <f t="shared" si="24"/>
        <v>2622</v>
      </c>
      <c r="Y85" s="9">
        <f t="shared" si="24"/>
        <v>2676</v>
      </c>
      <c r="Z85" s="9">
        <f t="shared" si="24"/>
        <v>5298</v>
      </c>
      <c r="AA85" s="9">
        <f t="shared" si="24"/>
        <v>1266</v>
      </c>
      <c r="AB85" s="9">
        <f t="shared" si="24"/>
        <v>1281</v>
      </c>
      <c r="AC85" s="9">
        <f t="shared" si="24"/>
        <v>2547</v>
      </c>
      <c r="AD85" s="9">
        <f t="shared" si="24"/>
        <v>1275</v>
      </c>
      <c r="AE85" s="9">
        <f t="shared" si="24"/>
        <v>1196</v>
      </c>
      <c r="AF85" s="9">
        <f t="shared" si="24"/>
        <v>1174</v>
      </c>
      <c r="AG85" s="9">
        <f t="shared" si="24"/>
        <v>39711</v>
      </c>
      <c r="AH85" s="1"/>
      <c r="AI85" s="1"/>
      <c r="AJ85" s="14"/>
    </row>
    <row r="86" spans="1:36" ht="15.6" x14ac:dyDescent="0.3">
      <c r="A86" s="35"/>
      <c r="B86" s="35"/>
      <c r="C86" s="35"/>
      <c r="D86" s="4" t="s">
        <v>319</v>
      </c>
      <c r="E86" s="111">
        <f t="shared" ref="E86:AG86" si="25">E82*E6</f>
        <v>4480</v>
      </c>
      <c r="F86" s="4">
        <f t="shared" si="25"/>
        <v>1980</v>
      </c>
      <c r="G86" s="4">
        <f t="shared" si="25"/>
        <v>6700</v>
      </c>
      <c r="H86" s="4">
        <f t="shared" si="25"/>
        <v>1600</v>
      </c>
      <c r="I86" s="111">
        <f t="shared" si="25"/>
        <v>4340</v>
      </c>
      <c r="J86" s="4">
        <f t="shared" si="25"/>
        <v>1890</v>
      </c>
      <c r="K86" s="4">
        <f t="shared" si="25"/>
        <v>6700</v>
      </c>
      <c r="L86" s="4">
        <f t="shared" si="25"/>
        <v>3100</v>
      </c>
      <c r="M86" s="4">
        <f t="shared" si="25"/>
        <v>3100</v>
      </c>
      <c r="N86" s="4">
        <f t="shared" si="25"/>
        <v>6600</v>
      </c>
      <c r="O86" s="4">
        <f t="shared" si="25"/>
        <v>3200</v>
      </c>
      <c r="P86" s="111">
        <f t="shared" si="25"/>
        <v>4550</v>
      </c>
      <c r="Q86" s="4">
        <f t="shared" si="25"/>
        <v>2010</v>
      </c>
      <c r="R86" s="4">
        <f t="shared" si="25"/>
        <v>6700</v>
      </c>
      <c r="S86" s="4">
        <f t="shared" si="25"/>
        <v>1675</v>
      </c>
      <c r="T86" s="4">
        <f t="shared" si="25"/>
        <v>1675</v>
      </c>
      <c r="U86" s="4">
        <f t="shared" si="25"/>
        <v>3200</v>
      </c>
      <c r="V86" s="4">
        <f t="shared" si="25"/>
        <v>3250</v>
      </c>
      <c r="W86" s="4">
        <f t="shared" si="25"/>
        <v>6600</v>
      </c>
      <c r="X86" s="4">
        <f t="shared" si="25"/>
        <v>3200</v>
      </c>
      <c r="Y86" s="4">
        <f t="shared" si="25"/>
        <v>3250</v>
      </c>
      <c r="Z86" s="4">
        <f t="shared" si="25"/>
        <v>6700</v>
      </c>
      <c r="AA86" s="4">
        <f t="shared" si="25"/>
        <v>1500</v>
      </c>
      <c r="AB86" s="4">
        <f t="shared" si="25"/>
        <v>1500</v>
      </c>
      <c r="AC86" s="4">
        <f t="shared" si="25"/>
        <v>3350</v>
      </c>
      <c r="AD86" s="4">
        <f t="shared" si="25"/>
        <v>1500</v>
      </c>
      <c r="AE86" s="4">
        <f t="shared" si="25"/>
        <v>1625</v>
      </c>
      <c r="AF86" s="4">
        <f t="shared" si="25"/>
        <v>1625</v>
      </c>
      <c r="AG86" s="4">
        <f t="shared" si="25"/>
        <v>56950</v>
      </c>
      <c r="AH86" s="35"/>
      <c r="AI86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K7 Part B </vt:lpstr>
      <vt:lpstr>K7 Part C</vt:lpstr>
      <vt:lpstr>CO5K</vt:lpstr>
      <vt:lpstr>CO3K</vt:lpstr>
      <vt:lpstr>CO1K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Praivn Satav</dc:creator>
  <cp:lastModifiedBy>YUVRAJ CHAUDHARI</cp:lastModifiedBy>
  <cp:lastPrinted>2026-01-02T08:55:46Z</cp:lastPrinted>
  <dcterms:created xsi:type="dcterms:W3CDTF">2025-07-03T03:27:46Z</dcterms:created>
  <dcterms:modified xsi:type="dcterms:W3CDTF">2026-03-10T17:12:32Z</dcterms:modified>
</cp:coreProperties>
</file>